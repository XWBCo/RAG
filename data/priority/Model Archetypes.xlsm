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102" codeName="{E5D1E7B1-6628-F0F0-D09B-76B25B5F3CD3}"/>
  <workbookPr codeName="ThisWorkbook"/>
  <mc:AlternateContent xmlns:mc="http://schemas.openxmlformats.org/markup-compatibility/2006">
    <mc:Choice Requires="x15">
      <x15ac:absPath xmlns:x15ac="http://schemas.microsoft.com/office/spreadsheetml/2010/11/ac" url="/Users/xavi_court/Downloads/"/>
    </mc:Choice>
  </mc:AlternateContent>
  <xr:revisionPtr revIDLastSave="0" documentId="13_ncr:1_{A5A537D2-F96E-1344-9030-26C1A7AE6CCA}" xr6:coauthVersionLast="47" xr6:coauthVersionMax="47" xr10:uidLastSave="{00000000-0000-0000-0000-000000000000}"/>
  <bookViews>
    <workbookView xWindow="0" yWindow="640" windowWidth="30240" windowHeight="19000" xr2:uid="{B992B5C9-4A6B-46D1-8729-A267CF4C281E}"/>
  </bookViews>
  <sheets>
    <sheet name="LIST" sheetId="11" r:id="rId1"/>
    <sheet name="4 models liquid US" sheetId="6" state="hidden" r:id="rId2"/>
    <sheet name="4 models US" sheetId="5" state="hidden" r:id="rId3"/>
    <sheet name="4 models liquid (INT)" sheetId="10" state="hidden" r:id="rId4"/>
    <sheet name="Characteristics" sheetId="12" state="hidden" r:id="rId5"/>
    <sheet name="ALL MODELS (INT)" sheetId="22" r:id="rId6"/>
    <sheet name="ALL MODELS" sheetId="20" r:id="rId7"/>
    <sheet name="DB" sheetId="18" state="hidden" r:id="rId8"/>
    <sheet name="Sheet3" sheetId="14" state="hidden" r:id="rId9"/>
    <sheet name="Perf" sheetId="19" state="hidden" r:id="rId10"/>
  </sheets>
  <functionGroups builtInGroupCount="19"/>
  <definedNames>
    <definedName name="_xlnm._FilterDatabase" localSheetId="0" hidden="1">LIST!$A$1:$L$53</definedName>
    <definedName name="_xleta.ROUND" hidden="1" xlm="1">#NAME?</definedName>
    <definedName name="_xlnm.Print_Titles" localSheetId="4">Characteristics!$A:$A,Characteristics!#REF!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54" i="22" l="1"/>
  <c r="M54" i="22"/>
  <c r="AI52" i="22"/>
  <c r="O52" i="22"/>
  <c r="AI50" i="22"/>
  <c r="AI51" i="22" s="1"/>
  <c r="AH50" i="22"/>
  <c r="AH52" i="22" s="1"/>
  <c r="AG50" i="22"/>
  <c r="AG53" i="22" s="1"/>
  <c r="AF50" i="22"/>
  <c r="AF54" i="22" s="1"/>
  <c r="AE50" i="22"/>
  <c r="AE55" i="22" s="1"/>
  <c r="Z50" i="22"/>
  <c r="Z56" i="22" s="1"/>
  <c r="Y50" i="22"/>
  <c r="Y56" i="22" s="1"/>
  <c r="X50" i="22"/>
  <c r="X56" i="22" s="1"/>
  <c r="W50" i="22"/>
  <c r="W55" i="22" s="1"/>
  <c r="V50" i="22"/>
  <c r="V56" i="22" s="1"/>
  <c r="Q50" i="22"/>
  <c r="Q56" i="22" s="1"/>
  <c r="P50" i="22"/>
  <c r="P54" i="22" s="1"/>
  <c r="O50" i="22"/>
  <c r="O51" i="22" s="1"/>
  <c r="N50" i="22"/>
  <c r="N52" i="22" s="1"/>
  <c r="M50" i="22"/>
  <c r="M53" i="22" s="1"/>
  <c r="H50" i="22"/>
  <c r="H54" i="22" s="1"/>
  <c r="G50" i="22"/>
  <c r="G55" i="22" s="1"/>
  <c r="F50" i="22"/>
  <c r="F56" i="22" s="1"/>
  <c r="E50" i="22"/>
  <c r="E56" i="22" s="1"/>
  <c r="D50" i="22"/>
  <c r="D56" i="22" s="1"/>
  <c r="AF47" i="22"/>
  <c r="O43" i="22"/>
  <c r="AI40" i="22"/>
  <c r="AI48" i="22" s="1"/>
  <c r="AH40" i="22"/>
  <c r="AH48" i="22" s="1"/>
  <c r="AG40" i="22"/>
  <c r="AG48" i="22" s="1"/>
  <c r="AF40" i="22"/>
  <c r="AF41" i="22" s="1"/>
  <c r="AE40" i="22"/>
  <c r="AE42" i="22" s="1"/>
  <c r="Z40" i="22"/>
  <c r="Z43" i="22" s="1"/>
  <c r="Y40" i="22"/>
  <c r="Y44" i="22" s="1"/>
  <c r="X40" i="22"/>
  <c r="X45" i="22" s="1"/>
  <c r="W40" i="22"/>
  <c r="W46" i="22" s="1"/>
  <c r="V40" i="22"/>
  <c r="V47" i="22" s="1"/>
  <c r="Q40" i="22"/>
  <c r="Q48" i="22" s="1"/>
  <c r="P40" i="22"/>
  <c r="P48" i="22" s="1"/>
  <c r="O40" i="22"/>
  <c r="O48" i="22" s="1"/>
  <c r="N40" i="22"/>
  <c r="N48" i="22" s="1"/>
  <c r="M40" i="22"/>
  <c r="M48" i="22" s="1"/>
  <c r="H40" i="22"/>
  <c r="H41" i="22" s="1"/>
  <c r="G40" i="22"/>
  <c r="G42" i="22" s="1"/>
  <c r="F40" i="22"/>
  <c r="F43" i="22" s="1"/>
  <c r="E40" i="22"/>
  <c r="E44" i="22" s="1"/>
  <c r="D40" i="22"/>
  <c r="D45" i="22" s="1"/>
  <c r="V35" i="22"/>
  <c r="M33" i="22"/>
  <c r="AH32" i="22"/>
  <c r="AG32" i="22"/>
  <c r="AI30" i="22"/>
  <c r="AI37" i="22" s="1"/>
  <c r="AH30" i="22"/>
  <c r="AH38" i="22" s="1"/>
  <c r="AG30" i="22"/>
  <c r="AG38" i="22" s="1"/>
  <c r="AF30" i="22"/>
  <c r="AF38" i="22" s="1"/>
  <c r="AE30" i="22"/>
  <c r="AE38" i="22" s="1"/>
  <c r="Z30" i="22"/>
  <c r="Z38" i="22" s="1"/>
  <c r="Y30" i="22"/>
  <c r="Y31" i="22" s="1"/>
  <c r="X30" i="22"/>
  <c r="X32" i="22" s="1"/>
  <c r="W30" i="22"/>
  <c r="W33" i="22" s="1"/>
  <c r="V30" i="22"/>
  <c r="V34" i="22" s="1"/>
  <c r="Q30" i="22"/>
  <c r="Q35" i="22" s="1"/>
  <c r="P30" i="22"/>
  <c r="P36" i="22" s="1"/>
  <c r="O30" i="22"/>
  <c r="O37" i="22" s="1"/>
  <c r="N30" i="22"/>
  <c r="N38" i="22" s="1"/>
  <c r="M30" i="22"/>
  <c r="M38" i="22" s="1"/>
  <c r="H30" i="22"/>
  <c r="H38" i="22" s="1"/>
  <c r="G30" i="22"/>
  <c r="G38" i="22" s="1"/>
  <c r="F30" i="22"/>
  <c r="F38" i="22" s="1"/>
  <c r="E30" i="22"/>
  <c r="E31" i="22" s="1"/>
  <c r="D30" i="22"/>
  <c r="D32" i="22" s="1"/>
  <c r="AI20" i="22"/>
  <c r="AI23" i="22" s="1"/>
  <c r="AH20" i="22"/>
  <c r="AH24" i="22" s="1"/>
  <c r="AG20" i="22"/>
  <c r="AG25" i="22" s="1"/>
  <c r="AF20" i="22"/>
  <c r="AF26" i="22" s="1"/>
  <c r="AE20" i="22"/>
  <c r="AE28" i="22" s="1"/>
  <c r="Z20" i="22"/>
  <c r="Y20" i="22"/>
  <c r="Y28" i="22" s="1"/>
  <c r="X20" i="22"/>
  <c r="X7" i="22" s="1"/>
  <c r="W20" i="22"/>
  <c r="W28" i="22" s="1"/>
  <c r="V20" i="22"/>
  <c r="V28" i="22" s="1"/>
  <c r="Q20" i="22"/>
  <c r="Q21" i="22" s="1"/>
  <c r="P20" i="22"/>
  <c r="P22" i="22" s="1"/>
  <c r="O20" i="22"/>
  <c r="O23" i="22" s="1"/>
  <c r="N20" i="22"/>
  <c r="N24" i="22" s="1"/>
  <c r="M20" i="22"/>
  <c r="M25" i="22" s="1"/>
  <c r="H20" i="22"/>
  <c r="H26" i="22" s="1"/>
  <c r="G20" i="22"/>
  <c r="G28" i="22" s="1"/>
  <c r="F20" i="22"/>
  <c r="F28" i="22" s="1"/>
  <c r="E20" i="22"/>
  <c r="E28" i="22" s="1"/>
  <c r="D20" i="22"/>
  <c r="D7" i="22" s="1"/>
  <c r="AI18" i="22"/>
  <c r="AH18" i="22"/>
  <c r="AG18" i="22"/>
  <c r="AF18" i="22"/>
  <c r="AE18" i="22"/>
  <c r="Z18" i="22"/>
  <c r="Y18" i="22"/>
  <c r="X18" i="22"/>
  <c r="W18" i="22"/>
  <c r="V18" i="22"/>
  <c r="Q18" i="22"/>
  <c r="P18" i="22"/>
  <c r="O18" i="22"/>
  <c r="N18" i="22"/>
  <c r="M18" i="22"/>
  <c r="AI17" i="22"/>
  <c r="AH17" i="22"/>
  <c r="AG17" i="22"/>
  <c r="AF17" i="22"/>
  <c r="AE17" i="22"/>
  <c r="Z17" i="22"/>
  <c r="Y17" i="22"/>
  <c r="X17" i="22"/>
  <c r="W17" i="22"/>
  <c r="V17" i="22"/>
  <c r="Q17" i="22"/>
  <c r="P17" i="22"/>
  <c r="O17" i="22"/>
  <c r="N17" i="22"/>
  <c r="M17" i="22"/>
  <c r="H17" i="22"/>
  <c r="G17" i="22"/>
  <c r="F17" i="22"/>
  <c r="E17" i="22"/>
  <c r="D17" i="22"/>
  <c r="AI16" i="22"/>
  <c r="AH16" i="22"/>
  <c r="AG16" i="22"/>
  <c r="AF16" i="22"/>
  <c r="AE16" i="22"/>
  <c r="Z16" i="22"/>
  <c r="Y16" i="22"/>
  <c r="X16" i="22"/>
  <c r="W16" i="22"/>
  <c r="V16" i="22"/>
  <c r="Q16" i="22"/>
  <c r="P16" i="22"/>
  <c r="O16" i="22"/>
  <c r="N16" i="22"/>
  <c r="M16" i="22"/>
  <c r="H16" i="22"/>
  <c r="G16" i="22"/>
  <c r="F16" i="22"/>
  <c r="E16" i="22"/>
  <c r="D16" i="22"/>
  <c r="AI15" i="22"/>
  <c r="AH15" i="22"/>
  <c r="AG15" i="22"/>
  <c r="AF15" i="22"/>
  <c r="AE15" i="22"/>
  <c r="Z15" i="22"/>
  <c r="Y15" i="22"/>
  <c r="X15" i="22"/>
  <c r="W15" i="22"/>
  <c r="V15" i="22"/>
  <c r="Q15" i="22"/>
  <c r="P15" i="22"/>
  <c r="O15" i="22"/>
  <c r="N15" i="22"/>
  <c r="M15" i="22"/>
  <c r="H15" i="22"/>
  <c r="G15" i="22"/>
  <c r="F15" i="22"/>
  <c r="E15" i="22"/>
  <c r="D15" i="22"/>
  <c r="AI14" i="22"/>
  <c r="AH14" i="22"/>
  <c r="AG14" i="22"/>
  <c r="AF14" i="22"/>
  <c r="AE14" i="22"/>
  <c r="Z14" i="22"/>
  <c r="Y14" i="22"/>
  <c r="X14" i="22"/>
  <c r="W14" i="22"/>
  <c r="V14" i="22"/>
  <c r="Q14" i="22"/>
  <c r="P14" i="22"/>
  <c r="O14" i="22"/>
  <c r="N14" i="22"/>
  <c r="M14" i="22"/>
  <c r="H14" i="22"/>
  <c r="G14" i="22"/>
  <c r="F14" i="22"/>
  <c r="E14" i="22"/>
  <c r="D14" i="22"/>
  <c r="AI13" i="22"/>
  <c r="AH13" i="22"/>
  <c r="AG13" i="22"/>
  <c r="AF13" i="22"/>
  <c r="AE13" i="22"/>
  <c r="Z13" i="22"/>
  <c r="Y13" i="22"/>
  <c r="X13" i="22"/>
  <c r="W13" i="22"/>
  <c r="V13" i="22"/>
  <c r="Q13" i="22"/>
  <c r="P13" i="22"/>
  <c r="O13" i="22"/>
  <c r="N13" i="22"/>
  <c r="M13" i="22"/>
  <c r="H13" i="22"/>
  <c r="G13" i="22"/>
  <c r="F13" i="22"/>
  <c r="E13" i="22"/>
  <c r="D13" i="22"/>
  <c r="AI8" i="22"/>
  <c r="AH8" i="22"/>
  <c r="AG8" i="22"/>
  <c r="AF8" i="22"/>
  <c r="AE8" i="22"/>
  <c r="Z8" i="22"/>
  <c r="Y8" i="22"/>
  <c r="X8" i="22"/>
  <c r="X10" i="22" s="1"/>
  <c r="W8" i="22"/>
  <c r="V8" i="22"/>
  <c r="Q8" i="22"/>
  <c r="P8" i="22"/>
  <c r="O8" i="22"/>
  <c r="N8" i="22"/>
  <c r="M8" i="22"/>
  <c r="H8" i="22"/>
  <c r="G8" i="22"/>
  <c r="F8" i="22"/>
  <c r="E8" i="22"/>
  <c r="D8" i="22"/>
  <c r="D10" i="22" s="1"/>
  <c r="V14" i="20"/>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11" i="12"/>
  <c r="C8" i="12"/>
  <c r="D8" i="12"/>
  <c r="E8" i="12"/>
  <c r="F8" i="12"/>
  <c r="G8" i="12"/>
  <c r="H8" i="12"/>
  <c r="I8" i="12"/>
  <c r="J8" i="12"/>
  <c r="K8" i="12"/>
  <c r="L8" i="12"/>
  <c r="M8" i="12"/>
  <c r="N8" i="12"/>
  <c r="O8" i="12"/>
  <c r="P8" i="12"/>
  <c r="Q8" i="12"/>
  <c r="R8" i="12"/>
  <c r="S8" i="12"/>
  <c r="T8" i="12"/>
  <c r="U8" i="12"/>
  <c r="V8" i="12"/>
  <c r="W8" i="12"/>
  <c r="X8" i="12"/>
  <c r="Y8" i="12"/>
  <c r="Z8" i="12"/>
  <c r="AA8" i="12"/>
  <c r="AB8" i="12"/>
  <c r="AC8" i="12"/>
  <c r="AD8" i="12"/>
  <c r="AE8" i="12"/>
  <c r="AF8" i="12"/>
  <c r="AG8" i="12"/>
  <c r="AH8" i="12"/>
  <c r="AI8" i="12"/>
  <c r="AJ8" i="12"/>
  <c r="AK8" i="12"/>
  <c r="AL8" i="12"/>
  <c r="AM8" i="12"/>
  <c r="AN8" i="12"/>
  <c r="AO8" i="12"/>
  <c r="AP8" i="12"/>
  <c r="AQ8" i="12"/>
  <c r="AR8" i="12"/>
  <c r="B8" i="12"/>
  <c r="A9" i="12"/>
  <c r="C10" i="12"/>
  <c r="D10" i="12"/>
  <c r="E10" i="12"/>
  <c r="F10" i="12"/>
  <c r="G10" i="12"/>
  <c r="H10" i="12"/>
  <c r="I10" i="12"/>
  <c r="J10" i="12"/>
  <c r="K10" i="12"/>
  <c r="L10" i="12"/>
  <c r="M10" i="12"/>
  <c r="N10" i="12"/>
  <c r="O10" i="12"/>
  <c r="P10" i="12"/>
  <c r="Q10" i="12"/>
  <c r="R10" i="12"/>
  <c r="S10" i="12"/>
  <c r="T10" i="12"/>
  <c r="U10" i="12"/>
  <c r="V10" i="12"/>
  <c r="W10" i="12"/>
  <c r="X10" i="12"/>
  <c r="Y10" i="12"/>
  <c r="Z10" i="12"/>
  <c r="AA10" i="12"/>
  <c r="AB10" i="12"/>
  <c r="AC10" i="12"/>
  <c r="AD10" i="12"/>
  <c r="AE10" i="12"/>
  <c r="AF10" i="12"/>
  <c r="AG10" i="12"/>
  <c r="AH10" i="12"/>
  <c r="AI10" i="12"/>
  <c r="AJ10" i="12"/>
  <c r="AK10" i="12"/>
  <c r="AL10" i="12"/>
  <c r="AM10" i="12"/>
  <c r="B10" i="12"/>
  <c r="AO13" i="12"/>
  <c r="AP13" i="12"/>
  <c r="AQ13" i="12"/>
  <c r="AR13" i="12"/>
  <c r="AO14" i="12"/>
  <c r="AP14" i="12"/>
  <c r="AQ14" i="12"/>
  <c r="AR14" i="12"/>
  <c r="AO15" i="12"/>
  <c r="AP15" i="12"/>
  <c r="AQ15" i="12"/>
  <c r="AR15" i="12"/>
  <c r="AO16" i="12"/>
  <c r="AP16" i="12"/>
  <c r="AQ16" i="12"/>
  <c r="AR16" i="12"/>
  <c r="AO17" i="12"/>
  <c r="AP17" i="12"/>
  <c r="AQ17" i="12"/>
  <c r="AR17" i="12"/>
  <c r="AO18" i="12"/>
  <c r="AP18" i="12"/>
  <c r="AQ18" i="12"/>
  <c r="AR18" i="12"/>
  <c r="AO19" i="12"/>
  <c r="AP19" i="12"/>
  <c r="AQ19" i="12"/>
  <c r="AR19" i="12"/>
  <c r="AO20" i="12"/>
  <c r="AP20" i="12"/>
  <c r="AQ20" i="12"/>
  <c r="AR20" i="12"/>
  <c r="AO21" i="12"/>
  <c r="AP21" i="12"/>
  <c r="AQ21" i="12"/>
  <c r="AR21" i="12"/>
  <c r="AO22" i="12"/>
  <c r="AP22" i="12"/>
  <c r="AQ22" i="12"/>
  <c r="AR22" i="12"/>
  <c r="AO23" i="12"/>
  <c r="AP23" i="12"/>
  <c r="AQ23" i="12"/>
  <c r="AR23" i="12"/>
  <c r="AO24" i="12"/>
  <c r="AP24" i="12"/>
  <c r="AQ24" i="12"/>
  <c r="AR24" i="12"/>
  <c r="AO25" i="12"/>
  <c r="AP25" i="12"/>
  <c r="AQ25" i="12"/>
  <c r="AR25" i="12"/>
  <c r="AO26" i="12"/>
  <c r="AP26" i="12"/>
  <c r="AQ26" i="12"/>
  <c r="AR26" i="12"/>
  <c r="AO27" i="12"/>
  <c r="AP27" i="12"/>
  <c r="AQ27" i="12"/>
  <c r="AR27" i="12"/>
  <c r="AO28" i="12"/>
  <c r="AP28" i="12"/>
  <c r="AQ28" i="12"/>
  <c r="AR28" i="12"/>
  <c r="AO29" i="12"/>
  <c r="AP29" i="12"/>
  <c r="AQ29" i="12"/>
  <c r="AR29" i="12"/>
  <c r="AO30" i="12"/>
  <c r="AP30" i="12"/>
  <c r="AQ30" i="12"/>
  <c r="AR30" i="12"/>
  <c r="AO31" i="12"/>
  <c r="AP31" i="12"/>
  <c r="AQ31" i="12"/>
  <c r="AR31" i="12"/>
  <c r="AO32" i="12"/>
  <c r="AP32" i="12"/>
  <c r="AQ32" i="12"/>
  <c r="AR32" i="12"/>
  <c r="AO33" i="12"/>
  <c r="AP33" i="12"/>
  <c r="AQ33" i="12"/>
  <c r="AR33" i="12"/>
  <c r="AO34" i="12"/>
  <c r="AP34" i="12"/>
  <c r="AQ34" i="12"/>
  <c r="AR34" i="12"/>
  <c r="AO35" i="12"/>
  <c r="AP35" i="12"/>
  <c r="AQ35" i="12"/>
  <c r="AR35" i="12"/>
  <c r="AO36" i="12"/>
  <c r="AP36" i="12"/>
  <c r="AQ36" i="12"/>
  <c r="AR36" i="12"/>
  <c r="AO37" i="12"/>
  <c r="AP37" i="12"/>
  <c r="AQ37" i="12"/>
  <c r="AR37" i="12"/>
  <c r="AO38" i="12"/>
  <c r="AP38" i="12"/>
  <c r="AQ38" i="12"/>
  <c r="AR38" i="12"/>
  <c r="AR12" i="12"/>
  <c r="AQ12" i="12"/>
  <c r="AP12" i="12"/>
  <c r="AO12" i="12"/>
  <c r="E38" i="20"/>
  <c r="E43" i="20"/>
  <c r="AP8" i="20"/>
  <c r="AO8" i="20"/>
  <c r="AQ8" i="20"/>
  <c r="AR8" i="20"/>
  <c r="AO14" i="20"/>
  <c r="F28" i="20"/>
  <c r="F31" i="20" s="1"/>
  <c r="F15" i="20"/>
  <c r="AE12" i="20"/>
  <c r="O10" i="5"/>
  <c r="O11" i="5"/>
  <c r="O12" i="5"/>
  <c r="O13" i="5"/>
  <c r="O14" i="5"/>
  <c r="O9" i="5"/>
  <c r="AQ54" i="20"/>
  <c r="AQ52" i="20"/>
  <c r="AR51" i="20"/>
  <c r="AO48" i="20"/>
  <c r="AO53" i="20" s="1"/>
  <c r="AP48" i="20"/>
  <c r="AP52" i="20" s="1"/>
  <c r="AQ48" i="20"/>
  <c r="AQ53" i="20" s="1"/>
  <c r="AR48" i="20"/>
  <c r="AR53" i="20" s="1"/>
  <c r="AN48" i="20"/>
  <c r="AN49" i="20" s="1"/>
  <c r="AR38" i="20"/>
  <c r="AR40" i="20" s="1"/>
  <c r="AP39" i="20"/>
  <c r="AO38" i="20"/>
  <c r="AO45" i="20" s="1"/>
  <c r="AP38" i="20"/>
  <c r="AP40" i="20" s="1"/>
  <c r="AQ38" i="20"/>
  <c r="AQ40" i="20" s="1"/>
  <c r="AN38" i="20"/>
  <c r="AN40" i="20" s="1"/>
  <c r="AO28" i="20"/>
  <c r="AP28" i="20"/>
  <c r="AQ28" i="20"/>
  <c r="AQ31" i="20" s="1"/>
  <c r="AR28" i="20"/>
  <c r="AR31" i="20" s="1"/>
  <c r="AN28" i="20"/>
  <c r="AN31" i="20" s="1"/>
  <c r="AN19" i="20"/>
  <c r="AN20" i="20" s="1"/>
  <c r="AR19" i="20"/>
  <c r="AR21" i="20" s="1"/>
  <c r="AQ19" i="20"/>
  <c r="AQ25" i="20" s="1"/>
  <c r="AP19" i="20"/>
  <c r="AP20" i="20" s="1"/>
  <c r="AO19" i="20"/>
  <c r="AO20" i="20" s="1"/>
  <c r="AN13" i="20"/>
  <c r="AO12" i="20"/>
  <c r="AP12" i="20"/>
  <c r="AQ12" i="20"/>
  <c r="AR12" i="20"/>
  <c r="AO13" i="20"/>
  <c r="AP13" i="20"/>
  <c r="AQ13" i="20"/>
  <c r="AR13" i="20"/>
  <c r="AP14" i="20"/>
  <c r="AQ14" i="20"/>
  <c r="AR14" i="20"/>
  <c r="AO15" i="20"/>
  <c r="AP15" i="20"/>
  <c r="AQ15" i="20"/>
  <c r="AR15" i="20"/>
  <c r="AO16" i="20"/>
  <c r="AP16" i="20"/>
  <c r="AQ16" i="20"/>
  <c r="AR16" i="20"/>
  <c r="AO17" i="20"/>
  <c r="AP17" i="20"/>
  <c r="AQ17" i="20"/>
  <c r="AR17" i="20"/>
  <c r="AN14" i="20"/>
  <c r="AN15" i="20"/>
  <c r="AN16" i="20"/>
  <c r="AN17" i="20"/>
  <c r="AN12" i="20"/>
  <c r="Y8" i="20"/>
  <c r="N8" i="20"/>
  <c r="O8" i="20"/>
  <c r="P8" i="20"/>
  <c r="Q8" i="20"/>
  <c r="M8" i="20"/>
  <c r="W8" i="20"/>
  <c r="X8" i="20"/>
  <c r="Z8" i="20"/>
  <c r="V8" i="20"/>
  <c r="AF8" i="20"/>
  <c r="AG8" i="20"/>
  <c r="AH8" i="20"/>
  <c r="AI8" i="20"/>
  <c r="AN8" i="20"/>
  <c r="AF49" i="20"/>
  <c r="AG49" i="20"/>
  <c r="AH49" i="20"/>
  <c r="AH53" i="20"/>
  <c r="AG54" i="20"/>
  <c r="AH54" i="20"/>
  <c r="AF48" i="20"/>
  <c r="AF50" i="20" s="1"/>
  <c r="AG48" i="20"/>
  <c r="AG50" i="20" s="1"/>
  <c r="AH48" i="20"/>
  <c r="AH52" i="20" s="1"/>
  <c r="AI48" i="20"/>
  <c r="AI50" i="20" s="1"/>
  <c r="AE48" i="20"/>
  <c r="AE54" i="20" s="1"/>
  <c r="AF40" i="20"/>
  <c r="AI40" i="20"/>
  <c r="AF45" i="20"/>
  <c r="AG28" i="20"/>
  <c r="AG34" i="20" s="1"/>
  <c r="AF38" i="20"/>
  <c r="AF41" i="20" s="1"/>
  <c r="AG38" i="20"/>
  <c r="AG40" i="20" s="1"/>
  <c r="AH38" i="20"/>
  <c r="AH40" i="20" s="1"/>
  <c r="AI38" i="20"/>
  <c r="AI41" i="20" s="1"/>
  <c r="AE38" i="20"/>
  <c r="AE41" i="20" s="1"/>
  <c r="AF28" i="20"/>
  <c r="AH28" i="20"/>
  <c r="AH32" i="20" s="1"/>
  <c r="AI28" i="20"/>
  <c r="AI30" i="20" s="1"/>
  <c r="AE28" i="20"/>
  <c r="AE32" i="20" s="1"/>
  <c r="AI19" i="20"/>
  <c r="AI20" i="20" s="1"/>
  <c r="AH19" i="20"/>
  <c r="AH22" i="20" s="1"/>
  <c r="AG19" i="20"/>
  <c r="AG21" i="20" s="1"/>
  <c r="AF19" i="20"/>
  <c r="AF23" i="20" s="1"/>
  <c r="AF21" i="20"/>
  <c r="AG26" i="20"/>
  <c r="AE19" i="20"/>
  <c r="AE23" i="20" s="1"/>
  <c r="AF12" i="20"/>
  <c r="AG12" i="20"/>
  <c r="AH12" i="20"/>
  <c r="AI12" i="20"/>
  <c r="AF13" i="20"/>
  <c r="AG13" i="20"/>
  <c r="AH13" i="20"/>
  <c r="AI13" i="20"/>
  <c r="AF14" i="20"/>
  <c r="AG14" i="20"/>
  <c r="AH14" i="20"/>
  <c r="AI14" i="20"/>
  <c r="AF15" i="20"/>
  <c r="AG15" i="20"/>
  <c r="AH15" i="20"/>
  <c r="AI15" i="20"/>
  <c r="AF16" i="20"/>
  <c r="AG16" i="20"/>
  <c r="AH16" i="20"/>
  <c r="AI16" i="20"/>
  <c r="AF17" i="20"/>
  <c r="AG17" i="20"/>
  <c r="AH17" i="20"/>
  <c r="AI17" i="20"/>
  <c r="AE13" i="20"/>
  <c r="AE14" i="20"/>
  <c r="AE15" i="20"/>
  <c r="AE16" i="20"/>
  <c r="AE17" i="20"/>
  <c r="AE8" i="20"/>
  <c r="W48" i="20"/>
  <c r="W50" i="20" s="1"/>
  <c r="X48" i="20"/>
  <c r="X50" i="20" s="1"/>
  <c r="Y48" i="20"/>
  <c r="Y50" i="20" s="1"/>
  <c r="Z48" i="20"/>
  <c r="Z50" i="20" s="1"/>
  <c r="V48" i="20"/>
  <c r="V50" i="20" s="1"/>
  <c r="W38" i="20"/>
  <c r="W43" i="20" s="1"/>
  <c r="X38" i="20"/>
  <c r="X39" i="20" s="1"/>
  <c r="Y38" i="20"/>
  <c r="Y40" i="20" s="1"/>
  <c r="Z38" i="20"/>
  <c r="Z45" i="20" s="1"/>
  <c r="V38" i="20"/>
  <c r="V45" i="20" s="1"/>
  <c r="W28" i="20"/>
  <c r="W36" i="20" s="1"/>
  <c r="X28" i="20"/>
  <c r="X32" i="20" s="1"/>
  <c r="Y28" i="20"/>
  <c r="Y36" i="20" s="1"/>
  <c r="Z28" i="20"/>
  <c r="Z30" i="20" s="1"/>
  <c r="V28" i="20"/>
  <c r="V35" i="20" s="1"/>
  <c r="V33" i="20"/>
  <c r="V34" i="20"/>
  <c r="Z19" i="20"/>
  <c r="Z21" i="20" s="1"/>
  <c r="Y19" i="20"/>
  <c r="Y22" i="20" s="1"/>
  <c r="X19" i="20"/>
  <c r="X25" i="20" s="1"/>
  <c r="W19" i="20"/>
  <c r="W20" i="20" s="1"/>
  <c r="V19" i="20"/>
  <c r="V24" i="20" s="1"/>
  <c r="W12" i="20"/>
  <c r="X12" i="20"/>
  <c r="Y12" i="20"/>
  <c r="Z12" i="20"/>
  <c r="W13" i="20"/>
  <c r="X13" i="20"/>
  <c r="Y13" i="20"/>
  <c r="Z13" i="20"/>
  <c r="W14" i="20"/>
  <c r="X14" i="20"/>
  <c r="Y14" i="20"/>
  <c r="Z14" i="20"/>
  <c r="W15" i="20"/>
  <c r="X15" i="20"/>
  <c r="Y15" i="20"/>
  <c r="Z15" i="20"/>
  <c r="W16" i="20"/>
  <c r="X16" i="20"/>
  <c r="Y16" i="20"/>
  <c r="Z16" i="20"/>
  <c r="W17" i="20"/>
  <c r="X17" i="20"/>
  <c r="Y17" i="20"/>
  <c r="Z17" i="20"/>
  <c r="V13" i="20"/>
  <c r="V15" i="20"/>
  <c r="V16" i="20"/>
  <c r="V17" i="20"/>
  <c r="V12" i="20"/>
  <c r="N45" i="20"/>
  <c r="M15" i="20"/>
  <c r="M17" i="20"/>
  <c r="N17" i="20"/>
  <c r="O17" i="20"/>
  <c r="P17" i="20"/>
  <c r="Q17" i="20"/>
  <c r="M12" i="20"/>
  <c r="I11" i="5"/>
  <c r="I12" i="5"/>
  <c r="I13" i="5"/>
  <c r="I14" i="5"/>
  <c r="I15" i="5"/>
  <c r="I10" i="5"/>
  <c r="M13" i="20"/>
  <c r="M14" i="20"/>
  <c r="M16" i="20"/>
  <c r="N12" i="20"/>
  <c r="O12" i="20"/>
  <c r="P12" i="20"/>
  <c r="Q12" i="20"/>
  <c r="N13" i="20"/>
  <c r="O13" i="20"/>
  <c r="P13" i="20"/>
  <c r="Q13" i="20"/>
  <c r="N14" i="20"/>
  <c r="O14" i="20"/>
  <c r="P14" i="20"/>
  <c r="Q14" i="20"/>
  <c r="N15" i="20"/>
  <c r="O15" i="20"/>
  <c r="P15" i="20"/>
  <c r="Q15" i="20"/>
  <c r="N16" i="20"/>
  <c r="O16" i="20"/>
  <c r="P16" i="20"/>
  <c r="Q16" i="20"/>
  <c r="D48" i="20"/>
  <c r="D50" i="20" s="1"/>
  <c r="E48" i="20"/>
  <c r="E49" i="20" s="1"/>
  <c r="F48" i="20"/>
  <c r="F49" i="20" s="1"/>
  <c r="G48" i="20"/>
  <c r="G50" i="20" s="1"/>
  <c r="H48" i="20"/>
  <c r="H50" i="20" s="1"/>
  <c r="E40" i="20"/>
  <c r="F38" i="20"/>
  <c r="F40" i="20" s="1"/>
  <c r="G38" i="20"/>
  <c r="G42" i="20" s="1"/>
  <c r="H38" i="20"/>
  <c r="H40" i="20" s="1"/>
  <c r="D38" i="20"/>
  <c r="D39" i="20" s="1"/>
  <c r="D28" i="20"/>
  <c r="D36" i="20" s="1"/>
  <c r="M38" i="20"/>
  <c r="M40" i="20" s="1"/>
  <c r="M19" i="20"/>
  <c r="M20" i="20" s="1"/>
  <c r="M28" i="20"/>
  <c r="M34" i="20" s="1"/>
  <c r="N28" i="20"/>
  <c r="N29" i="20" s="1"/>
  <c r="O28" i="20"/>
  <c r="O30" i="20" s="1"/>
  <c r="P28" i="20"/>
  <c r="P29" i="20" s="1"/>
  <c r="Q28" i="20"/>
  <c r="Q31" i="20" s="1"/>
  <c r="D19" i="20"/>
  <c r="H19" i="20"/>
  <c r="H25" i="20" s="1"/>
  <c r="G19" i="20"/>
  <c r="G20" i="20" s="1"/>
  <c r="F19" i="20"/>
  <c r="F21" i="20" s="1"/>
  <c r="E19" i="20"/>
  <c r="E24" i="20" s="1"/>
  <c r="Q19" i="20"/>
  <c r="Q22" i="20" s="1"/>
  <c r="P19" i="20"/>
  <c r="P21" i="20" s="1"/>
  <c r="O19" i="20"/>
  <c r="O21" i="20" s="1"/>
  <c r="N19" i="20"/>
  <c r="N25" i="20" s="1"/>
  <c r="N48" i="20"/>
  <c r="N50" i="20" s="1"/>
  <c r="O48" i="20"/>
  <c r="O50" i="20" s="1"/>
  <c r="P48" i="20"/>
  <c r="P50" i="20" s="1"/>
  <c r="Q48" i="20"/>
  <c r="Q49" i="20" s="1"/>
  <c r="M48" i="20"/>
  <c r="M50" i="20" s="1"/>
  <c r="N38" i="20"/>
  <c r="N41" i="20" s="1"/>
  <c r="O38" i="20"/>
  <c r="O41" i="20" s="1"/>
  <c r="P38" i="20"/>
  <c r="P41" i="20" s="1"/>
  <c r="Q38" i="20"/>
  <c r="Q41" i="20" s="1"/>
  <c r="E8" i="20"/>
  <c r="F8" i="20"/>
  <c r="G8" i="20"/>
  <c r="H8" i="20"/>
  <c r="D8" i="20"/>
  <c r="G28" i="20"/>
  <c r="G29" i="20" s="1"/>
  <c r="H28" i="20"/>
  <c r="H30" i="20" s="1"/>
  <c r="E28" i="20"/>
  <c r="E29" i="20" s="1"/>
  <c r="D12" i="20"/>
  <c r="E12" i="20"/>
  <c r="D13" i="20"/>
  <c r="E13" i="20"/>
  <c r="D14" i="20"/>
  <c r="E14" i="20"/>
  <c r="D15" i="20"/>
  <c r="E15" i="20"/>
  <c r="D16" i="20"/>
  <c r="E16" i="20"/>
  <c r="G12" i="20"/>
  <c r="H12" i="20"/>
  <c r="G13" i="20"/>
  <c r="H13" i="20"/>
  <c r="G14" i="20"/>
  <c r="H14" i="20"/>
  <c r="G15" i="20"/>
  <c r="H15" i="20"/>
  <c r="G16" i="20"/>
  <c r="H16" i="20"/>
  <c r="F12" i="20"/>
  <c r="F13" i="20"/>
  <c r="F14" i="20"/>
  <c r="F16" i="20"/>
  <c r="E37" i="5"/>
  <c r="N27" i="5"/>
  <c r="H27" i="5"/>
  <c r="E27" i="5"/>
  <c r="E17" i="5"/>
  <c r="E8" i="5"/>
  <c r="E3" i="5"/>
  <c r="AG9" i="22" l="1"/>
  <c r="AH53" i="22"/>
  <c r="N10" i="22"/>
  <c r="AH10" i="22"/>
  <c r="O10" i="22"/>
  <c r="AI9" i="22"/>
  <c r="H33" i="22"/>
  <c r="AI43" i="22"/>
  <c r="N44" i="22"/>
  <c r="O44" i="22"/>
  <c r="AH44" i="22"/>
  <c r="H51" i="22"/>
  <c r="AI44" i="22"/>
  <c r="X9" i="22"/>
  <c r="AG46" i="22"/>
  <c r="AE52" i="22"/>
  <c r="AE10" i="22"/>
  <c r="N53" i="22"/>
  <c r="AG10" i="22"/>
  <c r="V9" i="22"/>
  <c r="W9" i="22"/>
  <c r="M10" i="22"/>
  <c r="N9" i="22"/>
  <c r="D9" i="22"/>
  <c r="H34" i="22"/>
  <c r="Z7" i="22"/>
  <c r="Z10" i="22" s="1"/>
  <c r="F31" i="22"/>
  <c r="AG45" i="22"/>
  <c r="M31" i="22"/>
  <c r="H42" i="22"/>
  <c r="AH45" i="22"/>
  <c r="AE34" i="22"/>
  <c r="AF34" i="22"/>
  <c r="M41" i="22"/>
  <c r="Q54" i="22"/>
  <c r="H7" i="22"/>
  <c r="H58" i="22" s="1"/>
  <c r="N31" i="22"/>
  <c r="Y36" i="22"/>
  <c r="P42" i="22"/>
  <c r="H46" i="22"/>
  <c r="Q55" i="22"/>
  <c r="Z48" i="22"/>
  <c r="AE48" i="22"/>
  <c r="F35" i="22"/>
  <c r="Q7" i="22"/>
  <c r="Q9" i="22" s="1"/>
  <c r="M32" i="22"/>
  <c r="Z36" i="22"/>
  <c r="X42" i="22"/>
  <c r="M46" i="22"/>
  <c r="AF55" i="22"/>
  <c r="Z44" i="22"/>
  <c r="V7" i="22"/>
  <c r="V10" i="22" s="1"/>
  <c r="N32" i="22"/>
  <c r="AF42" i="22"/>
  <c r="AF46" i="22"/>
  <c r="G56" i="22"/>
  <c r="W52" i="22"/>
  <c r="Y7" i="22"/>
  <c r="Y58" i="22" s="1"/>
  <c r="X52" i="22"/>
  <c r="D33" i="22"/>
  <c r="E41" i="22"/>
  <c r="D37" i="22"/>
  <c r="D51" i="22"/>
  <c r="AE7" i="22"/>
  <c r="AE9" i="22" s="1"/>
  <c r="G35" i="22"/>
  <c r="E37" i="22"/>
  <c r="Q41" i="22"/>
  <c r="AF7" i="22"/>
  <c r="AF9" i="22" s="1"/>
  <c r="Z31" i="22"/>
  <c r="X33" i="22"/>
  <c r="X37" i="22"/>
  <c r="Y41" i="22"/>
  <c r="G43" i="22"/>
  <c r="E45" i="22"/>
  <c r="P51" i="22"/>
  <c r="O56" i="22"/>
  <c r="AG31" i="22"/>
  <c r="AF33" i="22"/>
  <c r="Z35" i="22"/>
  <c r="Y37" i="22"/>
  <c r="AG41" i="22"/>
  <c r="M45" i="22"/>
  <c r="G47" i="22"/>
  <c r="X51" i="22"/>
  <c r="P56" i="22"/>
  <c r="AH31" i="22"/>
  <c r="AG33" i="22"/>
  <c r="AE35" i="22"/>
  <c r="P43" i="22"/>
  <c r="N45" i="22"/>
  <c r="H47" i="22"/>
  <c r="AF51" i="22"/>
  <c r="D55" i="22"/>
  <c r="W56" i="22"/>
  <c r="E7" i="22"/>
  <c r="E32" i="22"/>
  <c r="D38" i="22"/>
  <c r="D42" i="22"/>
  <c r="AE43" i="22"/>
  <c r="Y45" i="22"/>
  <c r="AE47" i="22"/>
  <c r="V53" i="22"/>
  <c r="H55" i="22"/>
  <c r="AE56" i="22"/>
  <c r="V54" i="22"/>
  <c r="G7" i="22"/>
  <c r="G10" i="22" s="1"/>
  <c r="G34" i="22"/>
  <c r="E36" i="22"/>
  <c r="W38" i="22"/>
  <c r="W53" i="22"/>
  <c r="P55" i="22"/>
  <c r="AI56" i="22"/>
  <c r="W7" i="22"/>
  <c r="W10" i="22" s="1"/>
  <c r="X46" i="22"/>
  <c r="F36" i="22"/>
  <c r="X38" i="22"/>
  <c r="F48" i="22"/>
  <c r="D52" i="22"/>
  <c r="P7" i="22"/>
  <c r="P10" i="22" s="1"/>
  <c r="Y32" i="22"/>
  <c r="W34" i="22"/>
  <c r="Q36" i="22"/>
  <c r="Q42" i="22"/>
  <c r="F44" i="22"/>
  <c r="D46" i="22"/>
  <c r="G48" i="22"/>
  <c r="G52" i="22"/>
  <c r="X55" i="22"/>
  <c r="D58" i="22"/>
  <c r="X58" i="22"/>
  <c r="F7" i="22"/>
  <c r="V21" i="22"/>
  <c r="Q22" i="22"/>
  <c r="P23" i="22"/>
  <c r="O24" i="22"/>
  <c r="AI24" i="22"/>
  <c r="N25" i="22"/>
  <c r="AH25" i="22"/>
  <c r="M26" i="22"/>
  <c r="AG26" i="22"/>
  <c r="H28" i="22"/>
  <c r="AF28" i="22"/>
  <c r="P37" i="22"/>
  <c r="O38" i="22"/>
  <c r="AI38" i="22"/>
  <c r="W47" i="22"/>
  <c r="V48" i="22"/>
  <c r="W21" i="22"/>
  <c r="V22" i="22"/>
  <c r="Q23" i="22"/>
  <c r="P24" i="22"/>
  <c r="O25" i="22"/>
  <c r="AI25" i="22"/>
  <c r="N26" i="22"/>
  <c r="AH26" i="22"/>
  <c r="M28" i="22"/>
  <c r="AG28" i="22"/>
  <c r="G31" i="22"/>
  <c r="AE31" i="22"/>
  <c r="F32" i="22"/>
  <c r="Z32" i="22"/>
  <c r="E33" i="22"/>
  <c r="Y33" i="22"/>
  <c r="D34" i="22"/>
  <c r="X34" i="22"/>
  <c r="W35" i="22"/>
  <c r="V36" i="22"/>
  <c r="Q37" i="22"/>
  <c r="P38" i="22"/>
  <c r="N41" i="22"/>
  <c r="AH41" i="22"/>
  <c r="M42" i="22"/>
  <c r="AG42" i="22"/>
  <c r="H43" i="22"/>
  <c r="AF43" i="22"/>
  <c r="G44" i="22"/>
  <c r="AE44" i="22"/>
  <c r="F45" i="22"/>
  <c r="Z45" i="22"/>
  <c r="E46" i="22"/>
  <c r="Y46" i="22"/>
  <c r="D47" i="22"/>
  <c r="X47" i="22"/>
  <c r="W48" i="22"/>
  <c r="Q51" i="22"/>
  <c r="P52" i="22"/>
  <c r="O53" i="22"/>
  <c r="AI53" i="22"/>
  <c r="N54" i="22"/>
  <c r="AH54" i="22"/>
  <c r="M55" i="22"/>
  <c r="AG55" i="22"/>
  <c r="H56" i="22"/>
  <c r="AF56" i="22"/>
  <c r="AE58" i="22"/>
  <c r="M7" i="22"/>
  <c r="M9" i="22" s="1"/>
  <c r="AG7" i="22"/>
  <c r="D21" i="22"/>
  <c r="X21" i="22"/>
  <c r="W22" i="22"/>
  <c r="V23" i="22"/>
  <c r="Q24" i="22"/>
  <c r="P25" i="22"/>
  <c r="O26" i="22"/>
  <c r="AI26" i="22"/>
  <c r="N28" i="22"/>
  <c r="AH28" i="22"/>
  <c r="H31" i="22"/>
  <c r="AF31" i="22"/>
  <c r="G32" i="22"/>
  <c r="AE32" i="22"/>
  <c r="F33" i="22"/>
  <c r="Z33" i="22"/>
  <c r="E34" i="22"/>
  <c r="Y34" i="22"/>
  <c r="D35" i="22"/>
  <c r="X35" i="22"/>
  <c r="W36" i="22"/>
  <c r="V37" i="22"/>
  <c r="Q38" i="22"/>
  <c r="O41" i="22"/>
  <c r="AI41" i="22"/>
  <c r="N42" i="22"/>
  <c r="AH42" i="22"/>
  <c r="M43" i="22"/>
  <c r="AG43" i="22"/>
  <c r="H44" i="22"/>
  <c r="AF44" i="22"/>
  <c r="G45" i="22"/>
  <c r="AE45" i="22"/>
  <c r="F46" i="22"/>
  <c r="Z46" i="22"/>
  <c r="E47" i="22"/>
  <c r="Y47" i="22"/>
  <c r="D48" i="22"/>
  <c r="X48" i="22"/>
  <c r="V51" i="22"/>
  <c r="Q52" i="22"/>
  <c r="P53" i="22"/>
  <c r="O54" i="22"/>
  <c r="AI54" i="22"/>
  <c r="N55" i="22"/>
  <c r="AH55" i="22"/>
  <c r="M56" i="22"/>
  <c r="AG56" i="22"/>
  <c r="E21" i="22"/>
  <c r="Y21" i="22"/>
  <c r="D22" i="22"/>
  <c r="X22" i="22"/>
  <c r="W23" i="22"/>
  <c r="V24" i="22"/>
  <c r="Q25" i="22"/>
  <c r="P26" i="22"/>
  <c r="O28" i="22"/>
  <c r="AI28" i="22"/>
  <c r="H32" i="22"/>
  <c r="AF32" i="22"/>
  <c r="G33" i="22"/>
  <c r="AE33" i="22"/>
  <c r="F34" i="22"/>
  <c r="Z34" i="22"/>
  <c r="E35" i="22"/>
  <c r="Y35" i="22"/>
  <c r="D36" i="22"/>
  <c r="X36" i="22"/>
  <c r="W37" i="22"/>
  <c r="V38" i="22"/>
  <c r="P41" i="22"/>
  <c r="O42" i="22"/>
  <c r="AI42" i="22"/>
  <c r="N43" i="22"/>
  <c r="AH43" i="22"/>
  <c r="M44" i="22"/>
  <c r="AG44" i="22"/>
  <c r="H45" i="22"/>
  <c r="AF45" i="22"/>
  <c r="G46" i="22"/>
  <c r="AE46" i="22"/>
  <c r="F47" i="22"/>
  <c r="Z47" i="22"/>
  <c r="E48" i="22"/>
  <c r="Y48" i="22"/>
  <c r="W51" i="22"/>
  <c r="V52" i="22"/>
  <c r="Q53" i="22"/>
  <c r="O55" i="22"/>
  <c r="AI55" i="22"/>
  <c r="N56" i="22"/>
  <c r="AH56" i="22"/>
  <c r="AH7" i="22"/>
  <c r="AH9" i="22" s="1"/>
  <c r="O7" i="22"/>
  <c r="O9" i="22" s="1"/>
  <c r="AI7" i="22"/>
  <c r="AI10" i="22" s="1"/>
  <c r="F21" i="22"/>
  <c r="Z21" i="22"/>
  <c r="E22" i="22"/>
  <c r="Y22" i="22"/>
  <c r="D23" i="22"/>
  <c r="X23" i="22"/>
  <c r="W24" i="22"/>
  <c r="V25" i="22"/>
  <c r="Q26" i="22"/>
  <c r="P28" i="22"/>
  <c r="N7" i="22"/>
  <c r="G21" i="22"/>
  <c r="AE21" i="22"/>
  <c r="F22" i="22"/>
  <c r="Z22" i="22"/>
  <c r="E23" i="22"/>
  <c r="Y23" i="22"/>
  <c r="D24" i="22"/>
  <c r="X24" i="22"/>
  <c r="W25" i="22"/>
  <c r="V26" i="22"/>
  <c r="Q28" i="22"/>
  <c r="O31" i="22"/>
  <c r="AI31" i="22"/>
  <c r="V41" i="22"/>
  <c r="E51" i="22"/>
  <c r="Y51" i="22"/>
  <c r="H21" i="22"/>
  <c r="AF21" i="22"/>
  <c r="G22" i="22"/>
  <c r="AE22" i="22"/>
  <c r="F23" i="22"/>
  <c r="Z23" i="22"/>
  <c r="E24" i="22"/>
  <c r="Y24" i="22"/>
  <c r="D25" i="22"/>
  <c r="X25" i="22"/>
  <c r="W26" i="22"/>
  <c r="P31" i="22"/>
  <c r="O32" i="22"/>
  <c r="AI32" i="22"/>
  <c r="N33" i="22"/>
  <c r="AH33" i="22"/>
  <c r="M34" i="22"/>
  <c r="AG34" i="22"/>
  <c r="H35" i="22"/>
  <c r="AF35" i="22"/>
  <c r="G36" i="22"/>
  <c r="AE36" i="22"/>
  <c r="F37" i="22"/>
  <c r="Z37" i="22"/>
  <c r="E38" i="22"/>
  <c r="Y38" i="22"/>
  <c r="W41" i="22"/>
  <c r="V42" i="22"/>
  <c r="Q43" i="22"/>
  <c r="P44" i="22"/>
  <c r="O45" i="22"/>
  <c r="AI45" i="22"/>
  <c r="N46" i="22"/>
  <c r="AH46" i="22"/>
  <c r="M47" i="22"/>
  <c r="AG47" i="22"/>
  <c r="H48" i="22"/>
  <c r="AF48" i="22"/>
  <c r="F51" i="22"/>
  <c r="Z51" i="22"/>
  <c r="E52" i="22"/>
  <c r="Y52" i="22"/>
  <c r="D53" i="22"/>
  <c r="X53" i="22"/>
  <c r="W54" i="22"/>
  <c r="V55" i="22"/>
  <c r="M21" i="22"/>
  <c r="AG21" i="22"/>
  <c r="H22" i="22"/>
  <c r="AF22" i="22"/>
  <c r="G23" i="22"/>
  <c r="AE23" i="22"/>
  <c r="F24" i="22"/>
  <c r="Z24" i="22"/>
  <c r="E25" i="22"/>
  <c r="Y25" i="22"/>
  <c r="D26" i="22"/>
  <c r="X26" i="22"/>
  <c r="Q31" i="22"/>
  <c r="P32" i="22"/>
  <c r="O33" i="22"/>
  <c r="AI33" i="22"/>
  <c r="N34" i="22"/>
  <c r="AH34" i="22"/>
  <c r="M35" i="22"/>
  <c r="AG35" i="22"/>
  <c r="H36" i="22"/>
  <c r="AF36" i="22"/>
  <c r="G37" i="22"/>
  <c r="AE37" i="22"/>
  <c r="D41" i="22"/>
  <c r="X41" i="22"/>
  <c r="W42" i="22"/>
  <c r="V43" i="22"/>
  <c r="Q44" i="22"/>
  <c r="P45" i="22"/>
  <c r="O46" i="22"/>
  <c r="AI46" i="22"/>
  <c r="N47" i="22"/>
  <c r="AH47" i="22"/>
  <c r="G51" i="22"/>
  <c r="AE51" i="22"/>
  <c r="F52" i="22"/>
  <c r="Z52" i="22"/>
  <c r="E53" i="22"/>
  <c r="Y53" i="22"/>
  <c r="D54" i="22"/>
  <c r="X54" i="22"/>
  <c r="N21" i="22"/>
  <c r="AH21" i="22"/>
  <c r="M22" i="22"/>
  <c r="AG22" i="22"/>
  <c r="H23" i="22"/>
  <c r="AF23" i="22"/>
  <c r="G24" i="22"/>
  <c r="AE24" i="22"/>
  <c r="F25" i="22"/>
  <c r="Z25" i="22"/>
  <c r="E26" i="22"/>
  <c r="Y26" i="22"/>
  <c r="D28" i="22"/>
  <c r="X28" i="22"/>
  <c r="V31" i="22"/>
  <c r="Q32" i="22"/>
  <c r="P33" i="22"/>
  <c r="O34" i="22"/>
  <c r="AI34" i="22"/>
  <c r="N35" i="22"/>
  <c r="AH35" i="22"/>
  <c r="M36" i="22"/>
  <c r="AG36" i="22"/>
  <c r="H37" i="22"/>
  <c r="AF37" i="22"/>
  <c r="W43" i="22"/>
  <c r="V44" i="22"/>
  <c r="Q45" i="22"/>
  <c r="P46" i="22"/>
  <c r="O47" i="22"/>
  <c r="AI47" i="22"/>
  <c r="F53" i="22"/>
  <c r="Z53" i="22"/>
  <c r="E54" i="22"/>
  <c r="Y54" i="22"/>
  <c r="V58" i="22"/>
  <c r="O21" i="22"/>
  <c r="AI21" i="22"/>
  <c r="N22" i="22"/>
  <c r="AH22" i="22"/>
  <c r="M23" i="22"/>
  <c r="AG23" i="22"/>
  <c r="H24" i="22"/>
  <c r="AF24" i="22"/>
  <c r="G25" i="22"/>
  <c r="AE25" i="22"/>
  <c r="F26" i="22"/>
  <c r="Z26" i="22"/>
  <c r="W31" i="22"/>
  <c r="V32" i="22"/>
  <c r="Q33" i="22"/>
  <c r="P34" i="22"/>
  <c r="O35" i="22"/>
  <c r="AI35" i="22"/>
  <c r="N36" i="22"/>
  <c r="AH36" i="22"/>
  <c r="M37" i="22"/>
  <c r="AG37" i="22"/>
  <c r="F41" i="22"/>
  <c r="Z41" i="22"/>
  <c r="E42" i="22"/>
  <c r="Y42" i="22"/>
  <c r="D43" i="22"/>
  <c r="X43" i="22"/>
  <c r="W44" i="22"/>
  <c r="V45" i="22"/>
  <c r="Q46" i="22"/>
  <c r="P47" i="22"/>
  <c r="M51" i="22"/>
  <c r="AG51" i="22"/>
  <c r="H52" i="22"/>
  <c r="AF52" i="22"/>
  <c r="G53" i="22"/>
  <c r="AE53" i="22"/>
  <c r="F54" i="22"/>
  <c r="Z54" i="22"/>
  <c r="E55" i="22"/>
  <c r="Y55" i="22"/>
  <c r="P21" i="22"/>
  <c r="O22" i="22"/>
  <c r="AI22" i="22"/>
  <c r="N23" i="22"/>
  <c r="AH23" i="22"/>
  <c r="M24" i="22"/>
  <c r="AG24" i="22"/>
  <c r="H25" i="22"/>
  <c r="AF25" i="22"/>
  <c r="G26" i="22"/>
  <c r="AE26" i="22"/>
  <c r="Z28" i="22"/>
  <c r="D31" i="22"/>
  <c r="X31" i="22"/>
  <c r="W32" i="22"/>
  <c r="V33" i="22"/>
  <c r="Q34" i="22"/>
  <c r="P35" i="22"/>
  <c r="O36" i="22"/>
  <c r="AI36" i="22"/>
  <c r="N37" i="22"/>
  <c r="AH37" i="22"/>
  <c r="G41" i="22"/>
  <c r="AE41" i="22"/>
  <c r="F42" i="22"/>
  <c r="Z42" i="22"/>
  <c r="E43" i="22"/>
  <c r="Y43" i="22"/>
  <c r="D44" i="22"/>
  <c r="X44" i="22"/>
  <c r="W45" i="22"/>
  <c r="V46" i="22"/>
  <c r="Q47" i="22"/>
  <c r="N51" i="22"/>
  <c r="AH51" i="22"/>
  <c r="M52" i="22"/>
  <c r="AG52" i="22"/>
  <c r="H53" i="22"/>
  <c r="AF53" i="22"/>
  <c r="G54" i="22"/>
  <c r="AE54" i="22"/>
  <c r="F55" i="22"/>
  <c r="Z55" i="22"/>
  <c r="D9" i="12"/>
  <c r="AG9" i="12"/>
  <c r="H9" i="12"/>
  <c r="G9" i="12"/>
  <c r="C9" i="12"/>
  <c r="AQ9" i="12"/>
  <c r="M9" i="12"/>
  <c r="AE9" i="12"/>
  <c r="AF9" i="12"/>
  <c r="AM9" i="12"/>
  <c r="AA9" i="12"/>
  <c r="O9" i="12"/>
  <c r="AL9" i="12"/>
  <c r="Z9" i="12"/>
  <c r="N9" i="12"/>
  <c r="AK9" i="12"/>
  <c r="Y9" i="12"/>
  <c r="AJ9" i="12"/>
  <c r="X9" i="12"/>
  <c r="L9" i="12"/>
  <c r="AI9" i="12"/>
  <c r="W9" i="12"/>
  <c r="K9" i="12"/>
  <c r="AH9" i="12"/>
  <c r="V9" i="12"/>
  <c r="J9" i="12"/>
  <c r="U9" i="12"/>
  <c r="I9" i="12"/>
  <c r="AP9" i="12"/>
  <c r="AD9" i="12"/>
  <c r="R9" i="12"/>
  <c r="F9" i="12"/>
  <c r="B9" i="12"/>
  <c r="AO9" i="12"/>
  <c r="AC9" i="12"/>
  <c r="Q9" i="12"/>
  <c r="E9" i="12"/>
  <c r="T9" i="12"/>
  <c r="S9" i="12"/>
  <c r="AB9" i="12"/>
  <c r="P9" i="12"/>
  <c r="AR9" i="12"/>
  <c r="AQ21" i="20"/>
  <c r="AP22" i="20"/>
  <c r="AR45" i="20"/>
  <c r="AQ45" i="20"/>
  <c r="AP45" i="20"/>
  <c r="AQ44" i="20"/>
  <c r="AP44" i="20"/>
  <c r="AE52" i="20"/>
  <c r="AE51" i="20"/>
  <c r="AI54" i="20"/>
  <c r="AE50" i="20"/>
  <c r="AF46" i="20"/>
  <c r="AE21" i="20"/>
  <c r="Y35" i="20"/>
  <c r="AQ51" i="20"/>
  <c r="AQ22" i="20"/>
  <c r="AR30" i="20"/>
  <c r="AO25" i="20"/>
  <c r="AP7" i="20"/>
  <c r="AO7" i="20"/>
  <c r="AO9" i="20" s="1"/>
  <c r="AQ24" i="20"/>
  <c r="AQ23" i="20"/>
  <c r="AI39" i="20"/>
  <c r="AG25" i="20"/>
  <c r="AQ42" i="20"/>
  <c r="AF39" i="20"/>
  <c r="AG22" i="20"/>
  <c r="AE46" i="20"/>
  <c r="AI42" i="20"/>
  <c r="AI51" i="20"/>
  <c r="AP21" i="20"/>
  <c r="AN39" i="20"/>
  <c r="AP42" i="20"/>
  <c r="AN54" i="20"/>
  <c r="Y49" i="20"/>
  <c r="AF22" i="20"/>
  <c r="AF7" i="20"/>
  <c r="AF56" i="20" s="1"/>
  <c r="AE45" i="20"/>
  <c r="AH42" i="20"/>
  <c r="AH51" i="20"/>
  <c r="AQ20" i="20"/>
  <c r="AN46" i="20"/>
  <c r="AQ41" i="20"/>
  <c r="AN53" i="20"/>
  <c r="AH44" i="20"/>
  <c r="W54" i="20"/>
  <c r="AG39" i="20"/>
  <c r="AN51" i="20"/>
  <c r="X51" i="20"/>
  <c r="AE39" i="20"/>
  <c r="W51" i="20"/>
  <c r="X49" i="20"/>
  <c r="AG20" i="20"/>
  <c r="AE44" i="20"/>
  <c r="AG42" i="20"/>
  <c r="AG51" i="20"/>
  <c r="AQ26" i="20"/>
  <c r="W49" i="20"/>
  <c r="AF20" i="20"/>
  <c r="AE30" i="20"/>
  <c r="AE43" i="20"/>
  <c r="AF42" i="20"/>
  <c r="AH50" i="20"/>
  <c r="AN44" i="20"/>
  <c r="AR39" i="20"/>
  <c r="AN50" i="20"/>
  <c r="AF26" i="20"/>
  <c r="AI44" i="20"/>
  <c r="X54" i="20"/>
  <c r="AH39" i="20"/>
  <c r="AF25" i="20"/>
  <c r="AF44" i="20"/>
  <c r="W52" i="20"/>
  <c r="AG23" i="20"/>
  <c r="AI43" i="20"/>
  <c r="AO22" i="20"/>
  <c r="AR42" i="20"/>
  <c r="AI22" i="20"/>
  <c r="AF43" i="20"/>
  <c r="AE31" i="20"/>
  <c r="AN45" i="20"/>
  <c r="AP41" i="20"/>
  <c r="AN52" i="20"/>
  <c r="AE22" i="20"/>
  <c r="AH36" i="20"/>
  <c r="AE42" i="20"/>
  <c r="AE53" i="20"/>
  <c r="AI49" i="20"/>
  <c r="AP25" i="20"/>
  <c r="AN43" i="20"/>
  <c r="AQ39" i="20"/>
  <c r="AQ49" i="20"/>
  <c r="AR22" i="20"/>
  <c r="AI21" i="20"/>
  <c r="AE29" i="20"/>
  <c r="AE40" i="20"/>
  <c r="Y44" i="20"/>
  <c r="AE20" i="20"/>
  <c r="AH21" i="20"/>
  <c r="AE36" i="20"/>
  <c r="AI46" i="20"/>
  <c r="AP30" i="20"/>
  <c r="AP49" i="20"/>
  <c r="AP53" i="20"/>
  <c r="X44" i="20"/>
  <c r="AE26" i="20"/>
  <c r="AI23" i="20"/>
  <c r="AE35" i="20"/>
  <c r="AI52" i="20"/>
  <c r="AR24" i="20"/>
  <c r="AR20" i="20"/>
  <c r="AO30" i="20"/>
  <c r="AO54" i="20"/>
  <c r="W7" i="20"/>
  <c r="W56" i="20" s="1"/>
  <c r="AE25" i="20"/>
  <c r="AH23" i="20"/>
  <c r="AE34" i="20"/>
  <c r="AI45" i="20"/>
  <c r="AO50" i="20"/>
  <c r="AP54" i="20"/>
  <c r="AE24" i="20"/>
  <c r="AE33" i="20"/>
  <c r="AH45" i="20"/>
  <c r="AG52" i="20"/>
  <c r="AP24" i="20"/>
  <c r="AP50" i="20"/>
  <c r="X52" i="20"/>
  <c r="AE7" i="20"/>
  <c r="AE9" i="20" s="1"/>
  <c r="AG45" i="20"/>
  <c r="AH41" i="20"/>
  <c r="AF52" i="20"/>
  <c r="AR23" i="20"/>
  <c r="AO43" i="20"/>
  <c r="AO51" i="20"/>
  <c r="AR54" i="20"/>
  <c r="AP51" i="20"/>
  <c r="X26" i="20"/>
  <c r="AH20" i="20"/>
  <c r="AF36" i="20"/>
  <c r="AO36" i="20"/>
  <c r="AO52" i="20"/>
  <c r="AI26" i="20"/>
  <c r="AR26" i="20"/>
  <c r="X24" i="20"/>
  <c r="AH33" i="20"/>
  <c r="AR25" i="20"/>
  <c r="AO34" i="20"/>
  <c r="AH25" i="20"/>
  <c r="AH30" i="20"/>
  <c r="Q45" i="20"/>
  <c r="Z44" i="20"/>
  <c r="AQ30" i="20"/>
  <c r="AO49" i="20"/>
  <c r="AO40" i="20"/>
  <c r="AH29" i="20"/>
  <c r="AO42" i="20"/>
  <c r="W42" i="20"/>
  <c r="AF29" i="20"/>
  <c r="AG36" i="20"/>
  <c r="Z26" i="20"/>
  <c r="AN26" i="20"/>
  <c r="AG7" i="20"/>
  <c r="AG9" i="20" s="1"/>
  <c r="AN23" i="20"/>
  <c r="AR32" i="20"/>
  <c r="AR41" i="20"/>
  <c r="AF35" i="20"/>
  <c r="AF32" i="20"/>
  <c r="AN22" i="20"/>
  <c r="AN36" i="20"/>
  <c r="AQ35" i="20"/>
  <c r="AQ32" i="20"/>
  <c r="AP29" i="20"/>
  <c r="AN42" i="20"/>
  <c r="O31" i="20"/>
  <c r="Z7" i="20"/>
  <c r="Z23" i="20"/>
  <c r="Z54" i="20"/>
  <c r="AI34" i="20"/>
  <c r="AI31" i="20"/>
  <c r="AG44" i="20"/>
  <c r="AG41" i="20"/>
  <c r="AF54" i="20"/>
  <c r="AF51" i="20"/>
  <c r="AN7" i="20"/>
  <c r="AN9" i="20" s="1"/>
  <c r="AQ7" i="20"/>
  <c r="AN21" i="20"/>
  <c r="AO24" i="20"/>
  <c r="AO21" i="20"/>
  <c r="AN35" i="20"/>
  <c r="AP35" i="20"/>
  <c r="AP32" i="20"/>
  <c r="AO29" i="20"/>
  <c r="AN41" i="20"/>
  <c r="AR49" i="20"/>
  <c r="AR52" i="20"/>
  <c r="AN25" i="20"/>
  <c r="Z25" i="20"/>
  <c r="AO39" i="20"/>
  <c r="AG29" i="20"/>
  <c r="Q54" i="20"/>
  <c r="Y21" i="20"/>
  <c r="Y54" i="20"/>
  <c r="AH26" i="20"/>
  <c r="AH34" i="20"/>
  <c r="AH31" i="20"/>
  <c r="AI53" i="20"/>
  <c r="AN34" i="20"/>
  <c r="AO35" i="20"/>
  <c r="AO32" i="20"/>
  <c r="AO31" i="20"/>
  <c r="AO44" i="20"/>
  <c r="AO41" i="20"/>
  <c r="AI7" i="20"/>
  <c r="AI9" i="20" s="1"/>
  <c r="AG30" i="20"/>
  <c r="AR33" i="20"/>
  <c r="AF33" i="20"/>
  <c r="AQ36" i="20"/>
  <c r="AI32" i="20"/>
  <c r="AP36" i="20"/>
  <c r="AP33" i="20"/>
  <c r="AR29" i="20"/>
  <c r="AR44" i="20"/>
  <c r="AN30" i="20"/>
  <c r="AR36" i="20"/>
  <c r="AH7" i="20"/>
  <c r="AF30" i="20"/>
  <c r="AQ33" i="20"/>
  <c r="AI35" i="20"/>
  <c r="W44" i="20"/>
  <c r="AH35" i="20"/>
  <c r="AN24" i="20"/>
  <c r="AO33" i="20"/>
  <c r="AG32" i="20"/>
  <c r="AR35" i="20"/>
  <c r="AQ29" i="20"/>
  <c r="Z20" i="20"/>
  <c r="AG31" i="20"/>
  <c r="AN33" i="20"/>
  <c r="AR34" i="20"/>
  <c r="AR46" i="20"/>
  <c r="AR43" i="20"/>
  <c r="P45" i="20"/>
  <c r="Y20" i="20"/>
  <c r="AF34" i="20"/>
  <c r="AF31" i="20"/>
  <c r="AH46" i="20"/>
  <c r="AH43" i="20"/>
  <c r="AE49" i="20"/>
  <c r="AG53" i="20"/>
  <c r="AP26" i="20"/>
  <c r="AP23" i="20"/>
  <c r="AN32" i="20"/>
  <c r="AQ34" i="20"/>
  <c r="AQ46" i="20"/>
  <c r="AQ43" i="20"/>
  <c r="AQ50" i="20"/>
  <c r="AO46" i="20"/>
  <c r="AG33" i="20"/>
  <c r="AI29" i="20"/>
  <c r="Y24" i="20"/>
  <c r="AG35" i="20"/>
  <c r="AN29" i="20"/>
  <c r="W39" i="20"/>
  <c r="O45" i="20"/>
  <c r="X20" i="20"/>
  <c r="Y52" i="20"/>
  <c r="AI25" i="20"/>
  <c r="AI36" i="20"/>
  <c r="AI33" i="20"/>
  <c r="AG46" i="20"/>
  <c r="AG43" i="20"/>
  <c r="AF53" i="20"/>
  <c r="AO26" i="20"/>
  <c r="AO23" i="20"/>
  <c r="AP34" i="20"/>
  <c r="AP31" i="20"/>
  <c r="AP46" i="20"/>
  <c r="AP43" i="20"/>
  <c r="AR50" i="20"/>
  <c r="AR7" i="20"/>
  <c r="AR9" i="20" s="1"/>
  <c r="AI24" i="20"/>
  <c r="AH24" i="20"/>
  <c r="AG24" i="20"/>
  <c r="AF24" i="20"/>
  <c r="H42" i="20"/>
  <c r="E44" i="20"/>
  <c r="M44" i="20"/>
  <c r="P54" i="20"/>
  <c r="Y23" i="20"/>
  <c r="X35" i="20"/>
  <c r="Y41" i="20"/>
  <c r="O54" i="20"/>
  <c r="V23" i="20"/>
  <c r="X23" i="20"/>
  <c r="W35" i="20"/>
  <c r="V44" i="20"/>
  <c r="X41" i="20"/>
  <c r="M45" i="20"/>
  <c r="Z41" i="20"/>
  <c r="N54" i="20"/>
  <c r="V22" i="20"/>
  <c r="Z22" i="20"/>
  <c r="W32" i="20"/>
  <c r="V43" i="20"/>
  <c r="W41" i="20"/>
  <c r="Y51" i="20"/>
  <c r="X7" i="20"/>
  <c r="D54" i="20"/>
  <c r="W24" i="20"/>
  <c r="Z52" i="20"/>
  <c r="O46" i="20"/>
  <c r="V21" i="20"/>
  <c r="N46" i="20"/>
  <c r="X21" i="20"/>
  <c r="V41" i="20"/>
  <c r="V49" i="20"/>
  <c r="V42" i="20"/>
  <c r="M46" i="20"/>
  <c r="Y7" i="20"/>
  <c r="Y26" i="20"/>
  <c r="W21" i="20"/>
  <c r="W45" i="20"/>
  <c r="V54" i="20"/>
  <c r="Z49" i="20"/>
  <c r="D44" i="20"/>
  <c r="Y31" i="20"/>
  <c r="N53" i="20"/>
  <c r="M53" i="20"/>
  <c r="Y30" i="20"/>
  <c r="Z43" i="20"/>
  <c r="Z40" i="20"/>
  <c r="E45" i="20"/>
  <c r="W26" i="20"/>
  <c r="W23" i="20"/>
  <c r="W34" i="20"/>
  <c r="O52" i="20"/>
  <c r="Y33" i="20"/>
  <c r="X43" i="20"/>
  <c r="N52" i="20"/>
  <c r="Y25" i="20"/>
  <c r="X33" i="20"/>
  <c r="W46" i="20"/>
  <c r="W40" i="20"/>
  <c r="V26" i="20"/>
  <c r="X22" i="20"/>
  <c r="W33" i="20"/>
  <c r="V39" i="20"/>
  <c r="Z42" i="20"/>
  <c r="Z39" i="20"/>
  <c r="D40" i="20"/>
  <c r="F51" i="20"/>
  <c r="Q46" i="20"/>
  <c r="O44" i="20"/>
  <c r="V20" i="20"/>
  <c r="V25" i="20"/>
  <c r="W25" i="20"/>
  <c r="W22" i="20"/>
  <c r="X36" i="20"/>
  <c r="Y32" i="20"/>
  <c r="W29" i="20"/>
  <c r="V46" i="20"/>
  <c r="Y45" i="20"/>
  <c r="Y42" i="20"/>
  <c r="Y39" i="20"/>
  <c r="Z31" i="20"/>
  <c r="H45" i="20"/>
  <c r="Z34" i="20"/>
  <c r="X31" i="20"/>
  <c r="G45" i="20"/>
  <c r="Y34" i="20"/>
  <c r="W31" i="20"/>
  <c r="V40" i="20"/>
  <c r="F45" i="20"/>
  <c r="X34" i="20"/>
  <c r="Z46" i="20"/>
  <c r="P52" i="20"/>
  <c r="X30" i="20"/>
  <c r="Y46" i="20"/>
  <c r="Y43" i="20"/>
  <c r="W30" i="20"/>
  <c r="X46" i="20"/>
  <c r="X40" i="20"/>
  <c r="F53" i="20"/>
  <c r="Q44" i="20"/>
  <c r="Y29" i="20"/>
  <c r="G51" i="20"/>
  <c r="N51" i="20"/>
  <c r="P44" i="20"/>
  <c r="X29" i="20"/>
  <c r="H39" i="20"/>
  <c r="P31" i="20"/>
  <c r="D51" i="20"/>
  <c r="P46" i="20"/>
  <c r="N44" i="20"/>
  <c r="V7" i="20"/>
  <c r="Z24" i="20"/>
  <c r="X45" i="20"/>
  <c r="X42" i="20"/>
  <c r="Z51" i="20"/>
  <c r="Z53" i="20"/>
  <c r="Y53" i="20"/>
  <c r="X53" i="20"/>
  <c r="W53" i="20"/>
  <c r="V52" i="20"/>
  <c r="V51" i="20"/>
  <c r="V53" i="20"/>
  <c r="Z35" i="20"/>
  <c r="Z32" i="20"/>
  <c r="Z29" i="20"/>
  <c r="Z36" i="20"/>
  <c r="Z33" i="20"/>
  <c r="V32" i="20"/>
  <c r="V31" i="20"/>
  <c r="V30" i="20"/>
  <c r="V29" i="20"/>
  <c r="V36" i="20"/>
  <c r="N31" i="20"/>
  <c r="N30" i="20"/>
  <c r="P43" i="20"/>
  <c r="H53" i="20"/>
  <c r="O43" i="20"/>
  <c r="G53" i="20"/>
  <c r="E51" i="20"/>
  <c r="Q52" i="20"/>
  <c r="N42" i="20"/>
  <c r="E53" i="20"/>
  <c r="M29" i="20"/>
  <c r="Q40" i="20"/>
  <c r="M36" i="20"/>
  <c r="M52" i="20"/>
  <c r="O40" i="20"/>
  <c r="G52" i="20"/>
  <c r="Q51" i="20"/>
  <c r="M32" i="20"/>
  <c r="N40" i="20"/>
  <c r="H54" i="20"/>
  <c r="F52" i="20"/>
  <c r="M54" i="20"/>
  <c r="P51" i="20"/>
  <c r="M35" i="20"/>
  <c r="H35" i="20"/>
  <c r="M31" i="20"/>
  <c r="N39" i="20"/>
  <c r="G54" i="20"/>
  <c r="E52" i="20"/>
  <c r="Q53" i="20"/>
  <c r="O51" i="20"/>
  <c r="Q43" i="20"/>
  <c r="N43" i="20"/>
  <c r="D53" i="20"/>
  <c r="D52" i="20"/>
  <c r="P40" i="20"/>
  <c r="H52" i="20"/>
  <c r="G35" i="20"/>
  <c r="M30" i="20"/>
  <c r="F54" i="20"/>
  <c r="P53" i="20"/>
  <c r="N33" i="20"/>
  <c r="E54" i="20"/>
  <c r="H51" i="20"/>
  <c r="O53" i="20"/>
  <c r="M51" i="20"/>
  <c r="D45" i="20"/>
  <c r="F35" i="20"/>
  <c r="H46" i="20"/>
  <c r="N36" i="20"/>
  <c r="G46" i="20"/>
  <c r="P34" i="20"/>
  <c r="H44" i="20"/>
  <c r="F46" i="20"/>
  <c r="O34" i="20"/>
  <c r="G44" i="20"/>
  <c r="E46" i="20"/>
  <c r="N34" i="20"/>
  <c r="F44" i="20"/>
  <c r="D46" i="20"/>
  <c r="Q33" i="20"/>
  <c r="Q30" i="20"/>
  <c r="D35" i="20"/>
  <c r="F42" i="20"/>
  <c r="P36" i="20"/>
  <c r="P33" i="20"/>
  <c r="P30" i="20"/>
  <c r="Q42" i="20"/>
  <c r="Q39" i="20"/>
  <c r="D34" i="20"/>
  <c r="G39" i="20"/>
  <c r="O36" i="20"/>
  <c r="O33" i="20"/>
  <c r="P42" i="20"/>
  <c r="P39" i="20"/>
  <c r="E35" i="20"/>
  <c r="Q36" i="20"/>
  <c r="D33" i="20"/>
  <c r="D7" i="20"/>
  <c r="D56" i="20" s="1"/>
  <c r="O42" i="20"/>
  <c r="O39" i="20"/>
  <c r="Q32" i="20"/>
  <c r="Q29" i="20"/>
  <c r="D30" i="20"/>
  <c r="G32" i="20"/>
  <c r="P35" i="20"/>
  <c r="P32" i="20"/>
  <c r="M43" i="20"/>
  <c r="D32" i="20"/>
  <c r="O7" i="20"/>
  <c r="O56" i="20" s="1"/>
  <c r="O35" i="20"/>
  <c r="O32" i="20"/>
  <c r="O29" i="20"/>
  <c r="M42" i="20"/>
  <c r="N35" i="20"/>
  <c r="N32" i="20"/>
  <c r="M41" i="20"/>
  <c r="H32" i="20"/>
  <c r="Q35" i="20"/>
  <c r="M39" i="20"/>
  <c r="M7" i="20"/>
  <c r="M56" i="20" s="1"/>
  <c r="M33" i="20"/>
  <c r="Q34" i="20"/>
  <c r="D22" i="20"/>
  <c r="F34" i="20"/>
  <c r="F50" i="20"/>
  <c r="E34" i="20"/>
  <c r="E50" i="20"/>
  <c r="H36" i="20"/>
  <c r="H49" i="20"/>
  <c r="G36" i="20"/>
  <c r="H33" i="20"/>
  <c r="P49" i="20"/>
  <c r="F36" i="20"/>
  <c r="G33" i="20"/>
  <c r="O49" i="20"/>
  <c r="E36" i="20"/>
  <c r="F33" i="20"/>
  <c r="H7" i="20"/>
  <c r="H56" i="20" s="1"/>
  <c r="N49" i="20"/>
  <c r="E33" i="20"/>
  <c r="G49" i="20"/>
  <c r="G7" i="20"/>
  <c r="G56" i="20" s="1"/>
  <c r="D49" i="20"/>
  <c r="P7" i="20"/>
  <c r="P56" i="20" s="1"/>
  <c r="F7" i="20"/>
  <c r="F56" i="20" s="1"/>
  <c r="E42" i="20"/>
  <c r="M49" i="20"/>
  <c r="Q50" i="20"/>
  <c r="Q7" i="20"/>
  <c r="Q56" i="20" s="1"/>
  <c r="H31" i="20"/>
  <c r="H34" i="20"/>
  <c r="F32" i="20"/>
  <c r="E7" i="20"/>
  <c r="E56" i="20" s="1"/>
  <c r="G34" i="20"/>
  <c r="E32" i="20"/>
  <c r="N7" i="20"/>
  <c r="N56" i="20" s="1"/>
  <c r="G40" i="20"/>
  <c r="D43" i="20"/>
  <c r="D41" i="20"/>
  <c r="F43" i="20"/>
  <c r="E41" i="20"/>
  <c r="G43" i="20"/>
  <c r="H43" i="20"/>
  <c r="E39" i="20"/>
  <c r="G41" i="20"/>
  <c r="F39" i="20"/>
  <c r="H41" i="20"/>
  <c r="F41" i="20"/>
  <c r="D42" i="20"/>
  <c r="G31" i="20"/>
  <c r="E31" i="20"/>
  <c r="D31" i="20"/>
  <c r="N24" i="20"/>
  <c r="Q24" i="20"/>
  <c r="Q21" i="20"/>
  <c r="Q25" i="20"/>
  <c r="Q20" i="20"/>
  <c r="M26" i="20"/>
  <c r="Q26" i="20"/>
  <c r="O20" i="20"/>
  <c r="O25" i="20"/>
  <c r="O23" i="20"/>
  <c r="O22" i="20"/>
  <c r="Q23" i="20"/>
  <c r="O26" i="20"/>
  <c r="O24" i="20"/>
  <c r="P26" i="20"/>
  <c r="P25" i="20"/>
  <c r="P23" i="20"/>
  <c r="P22" i="20"/>
  <c r="P20" i="20"/>
  <c r="P24" i="20"/>
  <c r="M25" i="20"/>
  <c r="M24" i="20"/>
  <c r="M23" i="20"/>
  <c r="M22" i="20"/>
  <c r="N23" i="20"/>
  <c r="N22" i="20"/>
  <c r="N21" i="20"/>
  <c r="M21" i="20"/>
  <c r="N26" i="20"/>
  <c r="N20" i="20"/>
  <c r="H29" i="20"/>
  <c r="G30" i="20"/>
  <c r="D29" i="20"/>
  <c r="F30" i="20"/>
  <c r="E30" i="20"/>
  <c r="F29" i="20"/>
  <c r="F24" i="20"/>
  <c r="D20" i="20"/>
  <c r="F20" i="20"/>
  <c r="D24" i="20"/>
  <c r="H26" i="20"/>
  <c r="H24" i="20"/>
  <c r="H23" i="20"/>
  <c r="H20" i="20"/>
  <c r="H21" i="20"/>
  <c r="D21" i="20"/>
  <c r="E21" i="20"/>
  <c r="D26" i="20"/>
  <c r="E23" i="20"/>
  <c r="D23" i="20"/>
  <c r="G25" i="20"/>
  <c r="G24" i="20"/>
  <c r="G22" i="20"/>
  <c r="G21" i="20"/>
  <c r="G26" i="20"/>
  <c r="G23" i="20"/>
  <c r="F22" i="20"/>
  <c r="F26" i="20"/>
  <c r="F25" i="20"/>
  <c r="E20" i="20"/>
  <c r="E26" i="20"/>
  <c r="E25" i="20"/>
  <c r="E22" i="20"/>
  <c r="D25" i="20"/>
  <c r="H22" i="20"/>
  <c r="F23" i="20"/>
  <c r="O1" i="19"/>
  <c r="AN38" i="12"/>
  <c r="C1" i="19"/>
  <c r="D1" i="19"/>
  <c r="E1" i="19"/>
  <c r="F1" i="19"/>
  <c r="B1" i="19"/>
  <c r="AL56" i="19"/>
  <c r="A56" i="19" s="1"/>
  <c r="AL57" i="19"/>
  <c r="A57" i="19" s="1"/>
  <c r="AL58" i="19"/>
  <c r="AL59" i="19"/>
  <c r="AL60" i="19"/>
  <c r="AL61" i="19"/>
  <c r="A61" i="19" s="1"/>
  <c r="AL62" i="19"/>
  <c r="A62" i="19" s="1"/>
  <c r="AL3" i="19"/>
  <c r="A3" i="19" s="1"/>
  <c r="AL4" i="19"/>
  <c r="A4" i="19" s="1"/>
  <c r="AL5" i="19"/>
  <c r="A5" i="19" s="1"/>
  <c r="AL6" i="19"/>
  <c r="A6" i="19" s="1"/>
  <c r="AL7" i="19"/>
  <c r="A7" i="19" s="1"/>
  <c r="AL8" i="19"/>
  <c r="A8" i="19" s="1"/>
  <c r="AL9" i="19"/>
  <c r="A9" i="19" s="1"/>
  <c r="AL10" i="19"/>
  <c r="AL11" i="19"/>
  <c r="AL12" i="19"/>
  <c r="AL13" i="19"/>
  <c r="A13" i="19" s="1"/>
  <c r="AL14" i="19"/>
  <c r="A14" i="19" s="1"/>
  <c r="AL15" i="19"/>
  <c r="A15" i="19" s="1"/>
  <c r="AL16" i="19"/>
  <c r="A16" i="19" s="1"/>
  <c r="AL17" i="19"/>
  <c r="A17" i="19" s="1"/>
  <c r="AL18" i="19"/>
  <c r="A18" i="19" s="1"/>
  <c r="AL19" i="19"/>
  <c r="A19" i="19" s="1"/>
  <c r="AL20" i="19"/>
  <c r="A20" i="19" s="1"/>
  <c r="AL21" i="19"/>
  <c r="A21" i="19" s="1"/>
  <c r="AL22" i="19"/>
  <c r="A22" i="19" s="1"/>
  <c r="AL23" i="19"/>
  <c r="AL24" i="19"/>
  <c r="AL25" i="19"/>
  <c r="A25" i="19" s="1"/>
  <c r="AL26" i="19"/>
  <c r="A26" i="19" s="1"/>
  <c r="AL27" i="19"/>
  <c r="A27" i="19" s="1"/>
  <c r="AL28" i="19"/>
  <c r="A28" i="19" s="1"/>
  <c r="AL29" i="19"/>
  <c r="A29" i="19" s="1"/>
  <c r="AL30" i="19"/>
  <c r="A30" i="19" s="1"/>
  <c r="AL31" i="19"/>
  <c r="A31" i="19" s="1"/>
  <c r="AL32" i="19"/>
  <c r="A32" i="19" s="1"/>
  <c r="AL33" i="19"/>
  <c r="A33" i="19" s="1"/>
  <c r="AL34" i="19"/>
  <c r="AL35" i="19"/>
  <c r="AL36" i="19"/>
  <c r="AL37" i="19"/>
  <c r="A37" i="19" s="1"/>
  <c r="AL38" i="19"/>
  <c r="A38" i="19" s="1"/>
  <c r="AL39" i="19"/>
  <c r="A39" i="19" s="1"/>
  <c r="AL40" i="19"/>
  <c r="A40" i="19" s="1"/>
  <c r="AL41" i="19"/>
  <c r="A41" i="19" s="1"/>
  <c r="AL42" i="19"/>
  <c r="A42" i="19" s="1"/>
  <c r="AL43" i="19"/>
  <c r="A43" i="19" s="1"/>
  <c r="AL44" i="19"/>
  <c r="A44" i="19" s="1"/>
  <c r="AL45" i="19"/>
  <c r="A45" i="19" s="1"/>
  <c r="AL46" i="19"/>
  <c r="A46" i="19" s="1"/>
  <c r="AL47" i="19"/>
  <c r="AL48" i="19"/>
  <c r="AL49" i="19"/>
  <c r="A49" i="19" s="1"/>
  <c r="AL50" i="19"/>
  <c r="A50" i="19" s="1"/>
  <c r="AL51" i="19"/>
  <c r="A51" i="19" s="1"/>
  <c r="AL52" i="19"/>
  <c r="A52" i="19" s="1"/>
  <c r="AL53" i="19"/>
  <c r="A53" i="19" s="1"/>
  <c r="AL54" i="19"/>
  <c r="A54" i="19" s="1"/>
  <c r="AL55" i="19"/>
  <c r="A55" i="19" s="1"/>
  <c r="AL2" i="19"/>
  <c r="A2" i="19" s="1"/>
  <c r="AM1" i="19" a="1"/>
  <c r="AN1" i="19" s="1"/>
  <c r="AO7" i="12"/>
  <c r="AO10" i="12" s="1"/>
  <c r="AP7" i="12"/>
  <c r="AP10" i="12" s="1"/>
  <c r="AQ7" i="12"/>
  <c r="AQ10" i="12" s="1"/>
  <c r="AR7" i="12"/>
  <c r="AR10" i="12" s="1"/>
  <c r="AN7" i="12"/>
  <c r="AN10" i="12" s="1"/>
  <c r="AN15" i="12"/>
  <c r="AN16" i="12"/>
  <c r="AN17" i="12"/>
  <c r="AN18" i="12"/>
  <c r="AN19" i="12"/>
  <c r="AN20" i="12"/>
  <c r="AN14" i="12"/>
  <c r="AN9" i="12" s="1"/>
  <c r="AN21" i="12"/>
  <c r="AN22" i="12"/>
  <c r="AN23" i="12"/>
  <c r="AN24" i="12"/>
  <c r="AN25" i="12"/>
  <c r="AN26" i="12"/>
  <c r="AN31" i="12"/>
  <c r="AN13" i="12"/>
  <c r="AN32" i="12"/>
  <c r="AN33" i="12"/>
  <c r="AN34" i="12"/>
  <c r="AN35" i="12"/>
  <c r="AN36" i="12"/>
  <c r="AN37" i="12"/>
  <c r="AN27" i="12"/>
  <c r="AN28" i="12"/>
  <c r="AN29" i="12"/>
  <c r="AN30" i="12"/>
  <c r="AN12" i="12"/>
  <c r="C2" i="12"/>
  <c r="D2" i="12"/>
  <c r="E2" i="12"/>
  <c r="F2" i="12"/>
  <c r="G2" i="12"/>
  <c r="H2" i="12"/>
  <c r="I2" i="12"/>
  <c r="J2" i="12"/>
  <c r="K2" i="12"/>
  <c r="L2" i="12"/>
  <c r="M2" i="12"/>
  <c r="N2" i="12"/>
  <c r="O2" i="12"/>
  <c r="P2" i="12"/>
  <c r="Q2" i="12"/>
  <c r="R2" i="12"/>
  <c r="S2" i="12"/>
  <c r="T2" i="12"/>
  <c r="U2" i="12"/>
  <c r="V2" i="12"/>
  <c r="W2" i="12"/>
  <c r="X2" i="12"/>
  <c r="Y2" i="12"/>
  <c r="Z2" i="12"/>
  <c r="AA2" i="12"/>
  <c r="AB2" i="12"/>
  <c r="AC2" i="12"/>
  <c r="AD2" i="12"/>
  <c r="AE2" i="12"/>
  <c r="AF2" i="12"/>
  <c r="AG2" i="12"/>
  <c r="AH2" i="12"/>
  <c r="AI2" i="12"/>
  <c r="AJ2" i="12"/>
  <c r="AK2" i="12"/>
  <c r="AL2" i="12"/>
  <c r="AM2" i="12"/>
  <c r="C3" i="12"/>
  <c r="D3" i="12"/>
  <c r="E3" i="12"/>
  <c r="F3" i="12"/>
  <c r="G3" i="12"/>
  <c r="H3" i="12"/>
  <c r="I3" i="12"/>
  <c r="J3" i="12"/>
  <c r="K3" i="12"/>
  <c r="L3" i="12"/>
  <c r="M3" i="12"/>
  <c r="N3" i="12"/>
  <c r="O3" i="12"/>
  <c r="P3" i="12"/>
  <c r="Q3" i="12"/>
  <c r="R3" i="12"/>
  <c r="S3" i="12"/>
  <c r="T3" i="12"/>
  <c r="U3" i="12"/>
  <c r="V3" i="12"/>
  <c r="W3" i="12"/>
  <c r="X3" i="12"/>
  <c r="Y3" i="12"/>
  <c r="Z3" i="12"/>
  <c r="AA3" i="12"/>
  <c r="AB3" i="12"/>
  <c r="AC3" i="12"/>
  <c r="AD3" i="12"/>
  <c r="AE3" i="12"/>
  <c r="AF3" i="12"/>
  <c r="AG3" i="12"/>
  <c r="AH3" i="12"/>
  <c r="AI3" i="12"/>
  <c r="AJ3" i="12"/>
  <c r="AK3" i="12"/>
  <c r="AL3" i="12"/>
  <c r="AM3" i="12"/>
  <c r="C4" i="12"/>
  <c r="D4" i="12"/>
  <c r="E4" i="12"/>
  <c r="F4" i="12"/>
  <c r="G4" i="12"/>
  <c r="H4" i="12"/>
  <c r="I4" i="12"/>
  <c r="J4" i="12"/>
  <c r="K4" i="12"/>
  <c r="L4" i="12"/>
  <c r="M4" i="12"/>
  <c r="N4" i="12"/>
  <c r="O4" i="12"/>
  <c r="P4" i="12"/>
  <c r="Q4" i="12"/>
  <c r="R4" i="12"/>
  <c r="S4" i="12"/>
  <c r="T4" i="12"/>
  <c r="U4" i="12"/>
  <c r="V4" i="12"/>
  <c r="W4" i="12"/>
  <c r="X4" i="12"/>
  <c r="Y4" i="12"/>
  <c r="Z4" i="12"/>
  <c r="AA4" i="12"/>
  <c r="AB4" i="12"/>
  <c r="AC4" i="12"/>
  <c r="AD4" i="12"/>
  <c r="AE4" i="12"/>
  <c r="AF4" i="12"/>
  <c r="AG4" i="12"/>
  <c r="AH4" i="12"/>
  <c r="AI4" i="12"/>
  <c r="AJ4" i="12"/>
  <c r="AK4" i="12"/>
  <c r="AL4" i="12"/>
  <c r="AM4" i="12"/>
  <c r="C5" i="12"/>
  <c r="D5" i="12"/>
  <c r="E5" i="12"/>
  <c r="F5" i="12"/>
  <c r="G5" i="12"/>
  <c r="H5" i="12"/>
  <c r="I5" i="12"/>
  <c r="J5" i="12"/>
  <c r="K5" i="12"/>
  <c r="L5" i="12"/>
  <c r="M5" i="12"/>
  <c r="N5" i="12"/>
  <c r="O5" i="12"/>
  <c r="P5" i="12"/>
  <c r="Q5" i="12"/>
  <c r="R5" i="12"/>
  <c r="S5" i="12"/>
  <c r="T5" i="12"/>
  <c r="U5" i="12"/>
  <c r="V5" i="12"/>
  <c r="W5" i="12"/>
  <c r="X5" i="12"/>
  <c r="Y5" i="12"/>
  <c r="Z5" i="12"/>
  <c r="AA5" i="12"/>
  <c r="AB5" i="12"/>
  <c r="AC5" i="12"/>
  <c r="AD5" i="12"/>
  <c r="AE5" i="12"/>
  <c r="AF5" i="12"/>
  <c r="AG5" i="12"/>
  <c r="AH5" i="12"/>
  <c r="AI5" i="12"/>
  <c r="AJ5" i="12"/>
  <c r="AK5" i="12"/>
  <c r="AL5" i="12"/>
  <c r="AM5" i="12"/>
  <c r="C6" i="12"/>
  <c r="D6" i="12"/>
  <c r="E6" i="12"/>
  <c r="F6" i="12"/>
  <c r="G6" i="12"/>
  <c r="H6" i="12"/>
  <c r="I6" i="12"/>
  <c r="J6" i="12"/>
  <c r="K6" i="12"/>
  <c r="L6" i="12"/>
  <c r="M6" i="12"/>
  <c r="N6" i="12"/>
  <c r="O6" i="12"/>
  <c r="P6" i="12"/>
  <c r="Q6" i="12"/>
  <c r="R6" i="12"/>
  <c r="S6" i="12"/>
  <c r="T6" i="12"/>
  <c r="U6" i="12"/>
  <c r="V6" i="12"/>
  <c r="W6" i="12"/>
  <c r="X6" i="12"/>
  <c r="Y6" i="12"/>
  <c r="Z6" i="12"/>
  <c r="AA6" i="12"/>
  <c r="AB6" i="12"/>
  <c r="AC6" i="12"/>
  <c r="AD6" i="12"/>
  <c r="AE6" i="12"/>
  <c r="AF6" i="12"/>
  <c r="AG6" i="12"/>
  <c r="AH6" i="12"/>
  <c r="AI6" i="12"/>
  <c r="AJ6" i="12"/>
  <c r="AK6" i="12"/>
  <c r="AL6" i="12"/>
  <c r="AM6" i="12"/>
  <c r="B6" i="12"/>
  <c r="B5" i="12"/>
  <c r="B4" i="12"/>
  <c r="B3" i="12"/>
  <c r="B2" i="12"/>
  <c r="E15" i="14"/>
  <c r="H15" i="14"/>
  <c r="I15" i="14"/>
  <c r="L15" i="14"/>
  <c r="M15" i="14"/>
  <c r="P15" i="14"/>
  <c r="Q15" i="14"/>
  <c r="T15" i="14"/>
  <c r="U15" i="14"/>
  <c r="D15" i="14"/>
  <c r="E9" i="14"/>
  <c r="U13" i="14"/>
  <c r="U12" i="14"/>
  <c r="U8" i="14"/>
  <c r="U7" i="14"/>
  <c r="U4" i="14"/>
  <c r="Q13" i="14"/>
  <c r="Q12" i="14"/>
  <c r="Q11" i="14"/>
  <c r="Q8" i="14"/>
  <c r="Q7" i="14"/>
  <c r="Q6" i="14"/>
  <c r="Q4" i="14"/>
  <c r="M13" i="14"/>
  <c r="M11" i="14"/>
  <c r="M9" i="14"/>
  <c r="M8" i="14"/>
  <c r="M6" i="14"/>
  <c r="M5" i="14"/>
  <c r="M4" i="14"/>
  <c r="I13" i="14"/>
  <c r="I11" i="14"/>
  <c r="I8" i="14"/>
  <c r="I7" i="14"/>
  <c r="I6" i="14"/>
  <c r="I4" i="14"/>
  <c r="E6" i="14"/>
  <c r="E7" i="14"/>
  <c r="E8" i="14"/>
  <c r="E11" i="14"/>
  <c r="E13" i="14"/>
  <c r="E4" i="14"/>
  <c r="H3" i="5"/>
  <c r="N3" i="5"/>
  <c r="K3" i="5"/>
  <c r="H10" i="22" l="1"/>
  <c r="H59" i="22" s="1"/>
  <c r="H9" i="22"/>
  <c r="G58" i="22"/>
  <c r="AF10" i="22"/>
  <c r="F9" i="22"/>
  <c r="F10" i="22"/>
  <c r="P58" i="22"/>
  <c r="P9" i="22"/>
  <c r="P59" i="22" s="1"/>
  <c r="E58" i="22"/>
  <c r="E10" i="22"/>
  <c r="G9" i="22"/>
  <c r="G59" i="22" s="1"/>
  <c r="E9" i="22"/>
  <c r="E59" i="22" s="1"/>
  <c r="Z58" i="22"/>
  <c r="Y10" i="22"/>
  <c r="Z9" i="22"/>
  <c r="Y9" i="22"/>
  <c r="Y59" i="22" s="1"/>
  <c r="Q58" i="22"/>
  <c r="Q10" i="22"/>
  <c r="Q59" i="22" s="1"/>
  <c r="W58" i="22"/>
  <c r="V59" i="22"/>
  <c r="AF59" i="22"/>
  <c r="W59" i="22"/>
  <c r="AE59" i="22"/>
  <c r="X59" i="22"/>
  <c r="D59" i="22"/>
  <c r="AF58" i="22"/>
  <c r="Z59" i="22"/>
  <c r="AI58" i="22"/>
  <c r="AI59" i="22"/>
  <c r="O59" i="22"/>
  <c r="O58" i="22"/>
  <c r="AH59" i="22"/>
  <c r="AH58" i="22"/>
  <c r="AG59" i="22"/>
  <c r="AG58" i="22"/>
  <c r="N59" i="22"/>
  <c r="N58" i="22"/>
  <c r="M59" i="22"/>
  <c r="M58" i="22"/>
  <c r="F59" i="22"/>
  <c r="F58" i="22"/>
  <c r="AI56" i="20"/>
  <c r="AF9" i="20"/>
  <c r="AG57" i="20"/>
  <c r="W9" i="20"/>
  <c r="W57" i="20" s="1"/>
  <c r="AG56" i="20"/>
  <c r="V56" i="20"/>
  <c r="V9" i="20"/>
  <c r="AR56" i="20"/>
  <c r="AR57" i="20"/>
  <c r="AO57" i="20"/>
  <c r="AO56" i="20"/>
  <c r="AP9" i="20"/>
  <c r="AP57" i="20" s="1"/>
  <c r="AP56" i="20"/>
  <c r="AN57" i="20"/>
  <c r="AN56" i="20"/>
  <c r="AQ56" i="20"/>
  <c r="AQ9" i="20"/>
  <c r="AQ57" i="20" s="1"/>
  <c r="AI57" i="20"/>
  <c r="AF57" i="20"/>
  <c r="AE56" i="20"/>
  <c r="AE57" i="20"/>
  <c r="AH9" i="20"/>
  <c r="AH57" i="20" s="1"/>
  <c r="AH56" i="20"/>
  <c r="V57" i="20"/>
  <c r="Z9" i="20"/>
  <c r="Z57" i="20" s="1"/>
  <c r="Z56" i="20"/>
  <c r="Y56" i="20"/>
  <c r="Y9" i="20"/>
  <c r="Y57" i="20" s="1"/>
  <c r="X56" i="20"/>
  <c r="X9" i="20"/>
  <c r="X57" i="20" s="1"/>
  <c r="F9" i="20"/>
  <c r="F57" i="20" s="1"/>
  <c r="M9" i="20"/>
  <c r="M57" i="20" s="1"/>
  <c r="Q9" i="20"/>
  <c r="Q57" i="20" s="1"/>
  <c r="N9" i="20"/>
  <c r="N57" i="20" s="1"/>
  <c r="O9" i="20"/>
  <c r="O57" i="20" s="1"/>
  <c r="P9" i="20"/>
  <c r="P57" i="20" s="1"/>
  <c r="E9" i="20"/>
  <c r="E57" i="20" s="1"/>
  <c r="G9" i="20"/>
  <c r="G57" i="20" s="1"/>
  <c r="H9" i="20"/>
  <c r="H57" i="20" s="1"/>
  <c r="D9" i="20"/>
  <c r="D57" i="20" s="1"/>
  <c r="R1" i="19"/>
  <c r="AF12" i="19" s="1"/>
  <c r="Y36" i="19"/>
  <c r="V1" i="19"/>
  <c r="AJ12" i="19" s="1"/>
  <c r="AC36" i="19"/>
  <c r="U1" i="19"/>
  <c r="AI12" i="19" s="1"/>
  <c r="AB36" i="19"/>
  <c r="T1" i="19"/>
  <c r="AH12" i="19" s="1"/>
  <c r="AA36" i="19"/>
  <c r="S1" i="19"/>
  <c r="AG12" i="19" s="1"/>
  <c r="Z36" i="19"/>
  <c r="AE45" i="19"/>
  <c r="X45" i="19"/>
  <c r="AE33" i="19"/>
  <c r="AE21" i="19"/>
  <c r="AE57" i="19"/>
  <c r="X57" i="19"/>
  <c r="AE49" i="19"/>
  <c r="X49" i="19"/>
  <c r="AE44" i="19"/>
  <c r="X44" i="19"/>
  <c r="AE32" i="19"/>
  <c r="AE20" i="19"/>
  <c r="AE56" i="19"/>
  <c r="X56" i="19"/>
  <c r="AE37" i="19"/>
  <c r="X37" i="19"/>
  <c r="AE46" i="19"/>
  <c r="X46" i="19"/>
  <c r="AE55" i="19"/>
  <c r="X55" i="19"/>
  <c r="AE43" i="19"/>
  <c r="X43" i="19"/>
  <c r="AE31" i="19"/>
  <c r="AE19" i="19"/>
  <c r="AE25" i="19"/>
  <c r="AE54" i="19"/>
  <c r="X54" i="19"/>
  <c r="AE42" i="19"/>
  <c r="X42" i="19"/>
  <c r="AE30" i="19"/>
  <c r="AE18" i="19"/>
  <c r="AE53" i="19"/>
  <c r="X53" i="19"/>
  <c r="AE41" i="19"/>
  <c r="X41" i="19"/>
  <c r="AE29" i="19"/>
  <c r="AE17" i="19"/>
  <c r="AE22" i="19"/>
  <c r="AE52" i="19"/>
  <c r="X52" i="19"/>
  <c r="AE40" i="19"/>
  <c r="X40" i="19"/>
  <c r="AE28" i="19"/>
  <c r="AE16" i="19"/>
  <c r="AE13" i="19"/>
  <c r="AE51" i="19"/>
  <c r="X51" i="19"/>
  <c r="AE39" i="19"/>
  <c r="X39" i="19"/>
  <c r="AE27" i="19"/>
  <c r="AE15" i="19"/>
  <c r="AE61" i="19"/>
  <c r="X61" i="19"/>
  <c r="AE50" i="19"/>
  <c r="X50" i="19"/>
  <c r="AE38" i="19"/>
  <c r="X38" i="19"/>
  <c r="AE26" i="19"/>
  <c r="AE14" i="19"/>
  <c r="AE62" i="19"/>
  <c r="X62" i="19"/>
  <c r="I46" i="19"/>
  <c r="Q45" i="19"/>
  <c r="I34" i="19"/>
  <c r="Q33" i="19"/>
  <c r="I22" i="19"/>
  <c r="Q21" i="19"/>
  <c r="I10" i="19"/>
  <c r="Q9" i="19"/>
  <c r="I58" i="19"/>
  <c r="Q57" i="19"/>
  <c r="I3" i="19"/>
  <c r="Q2" i="19"/>
  <c r="I45" i="19"/>
  <c r="Q44" i="19"/>
  <c r="I33" i="19"/>
  <c r="Q32" i="19"/>
  <c r="I21" i="19"/>
  <c r="Q20" i="19"/>
  <c r="I9" i="19"/>
  <c r="Q8" i="19"/>
  <c r="I57" i="19"/>
  <c r="Q56" i="19"/>
  <c r="I8" i="19"/>
  <c r="Q7" i="19"/>
  <c r="I23" i="19"/>
  <c r="Q22" i="19"/>
  <c r="I44" i="19"/>
  <c r="Q43" i="19"/>
  <c r="I20" i="19"/>
  <c r="Q19" i="19"/>
  <c r="I55" i="19"/>
  <c r="Q54" i="19"/>
  <c r="I43" i="19"/>
  <c r="Q42" i="19"/>
  <c r="I31" i="19"/>
  <c r="Q30" i="19"/>
  <c r="I19" i="19"/>
  <c r="Q18" i="19"/>
  <c r="I7" i="19"/>
  <c r="Q6" i="19"/>
  <c r="I56" i="19"/>
  <c r="Q55" i="19"/>
  <c r="I32" i="19"/>
  <c r="Q31" i="19"/>
  <c r="I54" i="19"/>
  <c r="Q53" i="19"/>
  <c r="I42" i="19"/>
  <c r="Q41" i="19"/>
  <c r="I30" i="19"/>
  <c r="Q29" i="19"/>
  <c r="I18" i="19"/>
  <c r="Q17" i="19"/>
  <c r="I6" i="19"/>
  <c r="Q5" i="19"/>
  <c r="I47" i="19"/>
  <c r="Q46" i="19"/>
  <c r="I53" i="19"/>
  <c r="Q52" i="19"/>
  <c r="I29" i="19"/>
  <c r="Q28" i="19"/>
  <c r="I5" i="19"/>
  <c r="Q4" i="19"/>
  <c r="I51" i="19"/>
  <c r="Q50" i="19"/>
  <c r="I39" i="19"/>
  <c r="Q38" i="19"/>
  <c r="I27" i="19"/>
  <c r="Q26" i="19"/>
  <c r="I15" i="19"/>
  <c r="Q14" i="19"/>
  <c r="I63" i="19"/>
  <c r="Q62" i="19"/>
  <c r="I41" i="19"/>
  <c r="Q40" i="19"/>
  <c r="I17" i="19"/>
  <c r="Q16" i="19"/>
  <c r="I52" i="19"/>
  <c r="Q51" i="19"/>
  <c r="I40" i="19"/>
  <c r="Q39" i="19"/>
  <c r="I28" i="19"/>
  <c r="Q27" i="19"/>
  <c r="I16" i="19"/>
  <c r="Q15" i="19"/>
  <c r="I4" i="19"/>
  <c r="Q3" i="19"/>
  <c r="I50" i="19"/>
  <c r="Q49" i="19"/>
  <c r="I38" i="19"/>
  <c r="Q37" i="19"/>
  <c r="I26" i="19"/>
  <c r="Q25" i="19"/>
  <c r="I14" i="19"/>
  <c r="Q13" i="19"/>
  <c r="I62" i="19"/>
  <c r="Q61" i="19"/>
  <c r="J1" i="19"/>
  <c r="N1" i="19"/>
  <c r="M1" i="19"/>
  <c r="L1" i="19"/>
  <c r="K1" i="19"/>
  <c r="A48" i="19"/>
  <c r="A36" i="19"/>
  <c r="A24" i="19"/>
  <c r="A12" i="19"/>
  <c r="A60" i="19"/>
  <c r="A47" i="19"/>
  <c r="A23" i="19"/>
  <c r="A11" i="19"/>
  <c r="A59" i="19"/>
  <c r="A35" i="19"/>
  <c r="A58" i="19"/>
  <c r="A34" i="19"/>
  <c r="A10" i="19"/>
  <c r="AN54" i="19"/>
  <c r="AN19" i="19"/>
  <c r="AU19" i="19" s="1"/>
  <c r="AN13" i="19"/>
  <c r="AU13" i="19" s="1"/>
  <c r="AN42" i="19"/>
  <c r="AN7" i="19"/>
  <c r="AU7" i="19" s="1"/>
  <c r="AN43" i="19"/>
  <c r="AN47" i="19"/>
  <c r="AN21" i="19"/>
  <c r="AN3" i="19"/>
  <c r="AU3" i="19" s="1"/>
  <c r="AN17" i="19"/>
  <c r="AU17" i="19" s="1"/>
  <c r="AN53" i="19"/>
  <c r="AN52" i="19"/>
  <c r="AN40" i="19"/>
  <c r="AN16" i="19"/>
  <c r="AU16" i="19" s="1"/>
  <c r="AN4" i="19"/>
  <c r="AU4" i="19" s="1"/>
  <c r="AN49" i="19"/>
  <c r="AN27" i="19"/>
  <c r="AN38" i="19"/>
  <c r="AN48" i="19"/>
  <c r="AN36" i="19"/>
  <c r="AN12" i="19"/>
  <c r="AU12" i="19" s="1"/>
  <c r="AN60" i="19"/>
  <c r="AN61" i="19"/>
  <c r="AN30" i="19"/>
  <c r="AN15" i="19"/>
  <c r="AU15" i="19" s="1"/>
  <c r="AN50" i="19"/>
  <c r="AN62" i="19"/>
  <c r="AN11" i="19"/>
  <c r="AU11" i="19" s="1"/>
  <c r="AN28" i="19"/>
  <c r="AN39" i="19"/>
  <c r="AN37" i="19"/>
  <c r="AN35" i="19"/>
  <c r="AN46" i="19"/>
  <c r="AN55" i="19"/>
  <c r="AN33" i="19"/>
  <c r="AN26" i="19"/>
  <c r="AN24" i="19"/>
  <c r="AN25" i="19"/>
  <c r="AN23" i="19"/>
  <c r="AN10" i="19"/>
  <c r="AU10" i="19" s="1"/>
  <c r="AN14" i="19"/>
  <c r="AU14" i="19" s="1"/>
  <c r="AN51" i="19"/>
  <c r="AN59" i="19"/>
  <c r="AN22" i="19"/>
  <c r="AN45" i="19"/>
  <c r="AN18" i="19"/>
  <c r="AU18" i="19" s="1"/>
  <c r="AN2" i="19"/>
  <c r="AU2" i="19" s="1"/>
  <c r="AN57" i="19"/>
  <c r="AN31" i="19"/>
  <c r="AN58" i="19"/>
  <c r="AN34" i="19"/>
  <c r="AN9" i="19"/>
  <c r="AU9" i="19" s="1"/>
  <c r="AN32" i="19"/>
  <c r="AN20" i="19"/>
  <c r="AN8" i="19"/>
  <c r="AU8" i="19" s="1"/>
  <c r="AN56" i="19"/>
  <c r="AN44" i="19"/>
  <c r="AN6" i="19"/>
  <c r="AU6" i="19" s="1"/>
  <c r="AN41" i="19"/>
  <c r="AN29" i="19"/>
  <c r="AN5" i="19"/>
  <c r="AU5" i="19" s="1"/>
  <c r="AT1" i="19"/>
  <c r="AT25" i="19" s="1"/>
  <c r="BG1" i="19"/>
  <c r="BG4" i="19" s="1"/>
  <c r="AR1" i="19"/>
  <c r="BE1" i="19"/>
  <c r="BE35" i="19" s="1"/>
  <c r="BF1" i="19"/>
  <c r="BF59" i="19" s="1"/>
  <c r="BS1" i="19"/>
  <c r="BD1" i="19"/>
  <c r="BD62" i="19" s="1"/>
  <c r="BR1" i="19"/>
  <c r="BC1" i="19"/>
  <c r="BC27" i="19" s="1"/>
  <c r="BQ1" i="19"/>
  <c r="AZ1" i="19"/>
  <c r="AZ28" i="19" s="1"/>
  <c r="BV1" i="19"/>
  <c r="BT1" i="19"/>
  <c r="BO1" i="19"/>
  <c r="AX1" i="19"/>
  <c r="AX28" i="19" s="1"/>
  <c r="AM1" i="19"/>
  <c r="AM11" i="19" s="1"/>
  <c r="AY11" i="19" s="1"/>
  <c r="BL1" i="19"/>
  <c r="BL60" i="19" s="1"/>
  <c r="AV1" i="19"/>
  <c r="AV52" i="19" s="1"/>
  <c r="AQ1" i="19"/>
  <c r="AQ23" i="19" s="1"/>
  <c r="AU1" i="19"/>
  <c r="BP1" i="19"/>
  <c r="AY1" i="19"/>
  <c r="AY38" i="19" s="1"/>
  <c r="BK1" i="19"/>
  <c r="BK56" i="19" s="1"/>
  <c r="BJ1" i="19"/>
  <c r="BJ57" i="19" s="1"/>
  <c r="BH1" i="19"/>
  <c r="BH15" i="19" s="1"/>
  <c r="AS1" i="19"/>
  <c r="AS12" i="19" s="1"/>
  <c r="BU1" i="19"/>
  <c r="BI1" i="19"/>
  <c r="AW1" i="19"/>
  <c r="BN1" i="19"/>
  <c r="BB1" i="19"/>
  <c r="BB33" i="19" s="1"/>
  <c r="AP1" i="19"/>
  <c r="AP35" i="19" s="1"/>
  <c r="BM1" i="19"/>
  <c r="BM46" i="19" s="1"/>
  <c r="G46" i="19" s="1"/>
  <c r="BA1" i="19"/>
  <c r="BA60" i="19" s="1"/>
  <c r="AO1" i="19"/>
  <c r="AO37" i="19" s="1"/>
  <c r="AQ6" i="12"/>
  <c r="AQ5" i="12"/>
  <c r="AR5" i="12"/>
  <c r="AR4" i="12"/>
  <c r="AO4" i="12"/>
  <c r="AO2" i="12"/>
  <c r="AQ4" i="12"/>
  <c r="AP5" i="12"/>
  <c r="AR2" i="12"/>
  <c r="AQ3" i="12"/>
  <c r="AR3" i="12"/>
  <c r="AQ2" i="12"/>
  <c r="AO5" i="12"/>
  <c r="AP3" i="12"/>
  <c r="AP2" i="12"/>
  <c r="AO6" i="12"/>
  <c r="AP4" i="12"/>
  <c r="AP6" i="12"/>
  <c r="AO3" i="12"/>
  <c r="AR6" i="12"/>
  <c r="AN2" i="12"/>
  <c r="AN4" i="12"/>
  <c r="AN6" i="12"/>
  <c r="AN5" i="12"/>
  <c r="AN3" i="12"/>
  <c r="N8" i="5"/>
  <c r="Y17" i="10"/>
  <c r="S17" i="10"/>
  <c r="M17" i="10"/>
  <c r="G17" i="10"/>
  <c r="X28" i="10"/>
  <c r="W28" i="10"/>
  <c r="U28" i="10"/>
  <c r="T28" i="10"/>
  <c r="R28" i="10"/>
  <c r="Q28" i="10"/>
  <c r="O28" i="10"/>
  <c r="N28" i="10"/>
  <c r="L28" i="10"/>
  <c r="K28" i="10"/>
  <c r="I28" i="10"/>
  <c r="H28" i="10"/>
  <c r="Y9" i="10"/>
  <c r="S9" i="10"/>
  <c r="M9" i="10"/>
  <c r="G9" i="10"/>
  <c r="Y3" i="10"/>
  <c r="S3" i="10"/>
  <c r="M3" i="10"/>
  <c r="G3" i="10"/>
  <c r="AE47" i="19" l="1"/>
  <c r="X47" i="19"/>
  <c r="AE23" i="19"/>
  <c r="AE60" i="19"/>
  <c r="X60" i="19"/>
  <c r="AE35" i="19"/>
  <c r="AE24" i="19"/>
  <c r="AE58" i="19"/>
  <c r="X58" i="19"/>
  <c r="AE36" i="19"/>
  <c r="AE34" i="19"/>
  <c r="AE59" i="19"/>
  <c r="X59" i="19"/>
  <c r="AE48" i="19"/>
  <c r="X48" i="19"/>
  <c r="I35" i="19"/>
  <c r="Q34" i="19"/>
  <c r="I25" i="19"/>
  <c r="Q24" i="19"/>
  <c r="I49" i="19"/>
  <c r="Q48" i="19"/>
  <c r="I59" i="19"/>
  <c r="Q58" i="19"/>
  <c r="I37" i="19"/>
  <c r="Q36" i="19"/>
  <c r="I36" i="19"/>
  <c r="Q35" i="19"/>
  <c r="I60" i="19"/>
  <c r="Q59" i="19"/>
  <c r="I12" i="19"/>
  <c r="Q11" i="19"/>
  <c r="I11" i="19"/>
  <c r="Q10" i="19"/>
  <c r="I24" i="19"/>
  <c r="Q23" i="19"/>
  <c r="I48" i="19"/>
  <c r="Q47" i="19"/>
  <c r="I61" i="19"/>
  <c r="Q60" i="19"/>
  <c r="I13" i="19"/>
  <c r="Q12" i="19"/>
  <c r="BM47" i="19"/>
  <c r="G47" i="19" s="1"/>
  <c r="BM37" i="19"/>
  <c r="G37" i="19" s="1"/>
  <c r="BM49" i="19"/>
  <c r="G49" i="19" s="1"/>
  <c r="BM5" i="19"/>
  <c r="G5" i="19" s="1"/>
  <c r="BM17" i="19"/>
  <c r="G17" i="19" s="1"/>
  <c r="BM60" i="19"/>
  <c r="G60" i="19" s="1"/>
  <c r="BM34" i="19"/>
  <c r="G34" i="19" s="1"/>
  <c r="BM25" i="19"/>
  <c r="G25" i="19" s="1"/>
  <c r="BM62" i="19"/>
  <c r="G62" i="19" s="1"/>
  <c r="BM22" i="19"/>
  <c r="G22" i="19" s="1"/>
  <c r="BM61" i="19"/>
  <c r="G61" i="19" s="1"/>
  <c r="BM29" i="19"/>
  <c r="G29" i="19" s="1"/>
  <c r="BM35" i="19"/>
  <c r="G35" i="19" s="1"/>
  <c r="BM41" i="19"/>
  <c r="G41" i="19" s="1"/>
  <c r="BM58" i="19"/>
  <c r="G58" i="19" s="1"/>
  <c r="BM12" i="19"/>
  <c r="G12" i="19" s="1"/>
  <c r="BM53" i="19"/>
  <c r="G53" i="19" s="1"/>
  <c r="BM21" i="19"/>
  <c r="G21" i="19" s="1"/>
  <c r="BM51" i="19"/>
  <c r="G51" i="19" s="1"/>
  <c r="BM15" i="19"/>
  <c r="G15" i="19" s="1"/>
  <c r="BM27" i="19"/>
  <c r="G27" i="19" s="1"/>
  <c r="BM39" i="19"/>
  <c r="G39" i="19" s="1"/>
  <c r="BM3" i="19"/>
  <c r="BM4" i="19"/>
  <c r="BM16" i="19"/>
  <c r="G16" i="19" s="1"/>
  <c r="BM28" i="19"/>
  <c r="G28" i="19" s="1"/>
  <c r="BM40" i="19"/>
  <c r="G40" i="19" s="1"/>
  <c r="BM52" i="19"/>
  <c r="G52" i="19" s="1"/>
  <c r="BM9" i="19"/>
  <c r="G9" i="19" s="1"/>
  <c r="BM33" i="19"/>
  <c r="G33" i="19" s="1"/>
  <c r="BM45" i="19"/>
  <c r="G45" i="19" s="1"/>
  <c r="BM57" i="19"/>
  <c r="G57" i="19" s="1"/>
  <c r="BM30" i="19"/>
  <c r="G30" i="19" s="1"/>
  <c r="BM31" i="19"/>
  <c r="G31" i="19" s="1"/>
  <c r="BM7" i="19"/>
  <c r="G7" i="19" s="1"/>
  <c r="BM42" i="19"/>
  <c r="G42" i="19" s="1"/>
  <c r="BM55" i="19"/>
  <c r="G55" i="19" s="1"/>
  <c r="BM43" i="19"/>
  <c r="G43" i="19" s="1"/>
  <c r="BM54" i="19"/>
  <c r="G54" i="19" s="1"/>
  <c r="BM18" i="19"/>
  <c r="G18" i="19" s="1"/>
  <c r="BM6" i="19"/>
  <c r="G6" i="19" s="1"/>
  <c r="BM19" i="19"/>
  <c r="G19" i="19" s="1"/>
  <c r="BM8" i="19"/>
  <c r="G8" i="19" s="1"/>
  <c r="BM24" i="19"/>
  <c r="G24" i="19" s="1"/>
  <c r="BM2" i="19"/>
  <c r="BM20" i="19"/>
  <c r="G20" i="19" s="1"/>
  <c r="BM59" i="19"/>
  <c r="G59" i="19" s="1"/>
  <c r="BM14" i="19"/>
  <c r="G14" i="19" s="1"/>
  <c r="BM32" i="19"/>
  <c r="G32" i="19" s="1"/>
  <c r="BM36" i="19"/>
  <c r="G36" i="19" s="1"/>
  <c r="BM26" i="19"/>
  <c r="G26" i="19" s="1"/>
  <c r="BM44" i="19"/>
  <c r="G44" i="19" s="1"/>
  <c r="BM11" i="19"/>
  <c r="G11" i="19" s="1"/>
  <c r="BM38" i="19"/>
  <c r="G38" i="19" s="1"/>
  <c r="BM56" i="19"/>
  <c r="G56" i="19" s="1"/>
  <c r="BM48" i="19"/>
  <c r="G48" i="19" s="1"/>
  <c r="BM13" i="19"/>
  <c r="G13" i="19" s="1"/>
  <c r="BM50" i="19"/>
  <c r="G50" i="19" s="1"/>
  <c r="BM10" i="19"/>
  <c r="G10" i="19" s="1"/>
  <c r="BM23" i="19"/>
  <c r="G23" i="19" s="1"/>
  <c r="BA12" i="19"/>
  <c r="AY45" i="19"/>
  <c r="AW31" i="19"/>
  <c r="AT10" i="19"/>
  <c r="AW46" i="19"/>
  <c r="BL30" i="19"/>
  <c r="BF41" i="19"/>
  <c r="AT56" i="19"/>
  <c r="AT55" i="19"/>
  <c r="BL47" i="19"/>
  <c r="AY57" i="19"/>
  <c r="BF33" i="19"/>
  <c r="BL53" i="19"/>
  <c r="BK17" i="19"/>
  <c r="AY30" i="19"/>
  <c r="AW33" i="19"/>
  <c r="AV61" i="19"/>
  <c r="AY39" i="19"/>
  <c r="BH42" i="19"/>
  <c r="AY33" i="19"/>
  <c r="AZ10" i="19"/>
  <c r="AW53" i="19"/>
  <c r="AO3" i="19"/>
  <c r="BK11" i="19"/>
  <c r="BG38" i="19"/>
  <c r="AZ40" i="19"/>
  <c r="BK5" i="19"/>
  <c r="AY53" i="19"/>
  <c r="AZ17" i="19"/>
  <c r="BK20" i="19"/>
  <c r="BD55" i="19"/>
  <c r="AO19" i="19"/>
  <c r="AW47" i="19"/>
  <c r="BJ61" i="19"/>
  <c r="AY32" i="19"/>
  <c r="AV57" i="19"/>
  <c r="BL46" i="19"/>
  <c r="BA5" i="19"/>
  <c r="AO6" i="19"/>
  <c r="BH55" i="19"/>
  <c r="BA21" i="19"/>
  <c r="AO58" i="19"/>
  <c r="AY46" i="19"/>
  <c r="AW42" i="19"/>
  <c r="AW52" i="19"/>
  <c r="AQ19" i="19"/>
  <c r="AQ62" i="19"/>
  <c r="AQ20" i="19"/>
  <c r="AZ41" i="19"/>
  <c r="AZ31" i="19"/>
  <c r="BH62" i="19"/>
  <c r="AP47" i="19"/>
  <c r="AZ59" i="19"/>
  <c r="AQ48" i="19"/>
  <c r="AO52" i="19"/>
  <c r="AQ21" i="19"/>
  <c r="BA41" i="19"/>
  <c r="BK31" i="19"/>
  <c r="AS21" i="19"/>
  <c r="BG50" i="19"/>
  <c r="BF46" i="19"/>
  <c r="AO13" i="19"/>
  <c r="AU61" i="19"/>
  <c r="AQ17" i="19"/>
  <c r="BL54" i="19"/>
  <c r="BK32" i="19"/>
  <c r="BF23" i="19"/>
  <c r="BL23" i="19" s="1"/>
  <c r="AZ45" i="19"/>
  <c r="BB22" i="19"/>
  <c r="AZ25" i="19"/>
  <c r="BD26" i="19"/>
  <c r="AT20" i="19"/>
  <c r="BH9" i="19"/>
  <c r="BF22" i="19"/>
  <c r="BL22" i="19" s="1"/>
  <c r="AW36" i="19"/>
  <c r="BL32" i="19"/>
  <c r="AW57" i="19"/>
  <c r="AW58" i="19"/>
  <c r="BB40" i="19"/>
  <c r="BB9" i="19"/>
  <c r="BD52" i="19"/>
  <c r="BC44" i="19"/>
  <c r="AP18" i="19"/>
  <c r="AP7" i="19"/>
  <c r="AP51" i="19"/>
  <c r="AU42" i="19"/>
  <c r="AQ27" i="19"/>
  <c r="BB21" i="19"/>
  <c r="BB27" i="19"/>
  <c r="BD15" i="19"/>
  <c r="AQ3" i="19"/>
  <c r="AS17" i="19"/>
  <c r="AT32" i="19"/>
  <c r="AP39" i="19"/>
  <c r="AP50" i="19"/>
  <c r="BB42" i="19"/>
  <c r="AW30" i="19"/>
  <c r="AW43" i="19"/>
  <c r="BC9" i="19"/>
  <c r="AP8" i="19"/>
  <c r="AP55" i="19"/>
  <c r="AU41" i="19"/>
  <c r="BL42" i="19"/>
  <c r="BD7" i="19"/>
  <c r="BL43" i="19"/>
  <c r="BD56" i="19"/>
  <c r="AP9" i="19"/>
  <c r="AU55" i="19"/>
  <c r="AP49" i="19"/>
  <c r="AO47" i="19"/>
  <c r="AW60" i="19"/>
  <c r="BB37" i="19"/>
  <c r="BB32" i="19"/>
  <c r="AP14" i="19"/>
  <c r="AU25" i="19"/>
  <c r="AV48" i="19"/>
  <c r="BK37" i="19"/>
  <c r="BA62" i="19"/>
  <c r="BB28" i="19"/>
  <c r="BD48" i="19"/>
  <c r="BK28" i="19"/>
  <c r="BB18" i="19"/>
  <c r="AU20" i="19"/>
  <c r="AU22" i="19"/>
  <c r="BB39" i="19"/>
  <c r="AQ25" i="19"/>
  <c r="BD46" i="19"/>
  <c r="AP13" i="19"/>
  <c r="AQ30" i="19"/>
  <c r="AP5" i="19"/>
  <c r="BL29" i="19"/>
  <c r="BC19" i="19"/>
  <c r="AQ54" i="19"/>
  <c r="AW32" i="19"/>
  <c r="BD44" i="19"/>
  <c r="AU21" i="19"/>
  <c r="BF11" i="19"/>
  <c r="BL11" i="19" s="1"/>
  <c r="AW34" i="19"/>
  <c r="AP27" i="19"/>
  <c r="AZ3" i="19"/>
  <c r="AO22" i="19"/>
  <c r="AT51" i="19"/>
  <c r="BH39" i="19"/>
  <c r="BF10" i="19"/>
  <c r="BL10" i="19" s="1"/>
  <c r="AS24" i="19"/>
  <c r="AY52" i="19"/>
  <c r="AQ46" i="19"/>
  <c r="AU44" i="19"/>
  <c r="AQ31" i="19"/>
  <c r="BC2" i="19"/>
  <c r="AU34" i="19"/>
  <c r="BC62" i="19"/>
  <c r="BB29" i="19"/>
  <c r="BD29" i="19"/>
  <c r="AQ44" i="19"/>
  <c r="AQ16" i="19"/>
  <c r="AU45" i="19"/>
  <c r="AQ5" i="19"/>
  <c r="BB34" i="19"/>
  <c r="BC3" i="19"/>
  <c r="AU31" i="19"/>
  <c r="AS45" i="19"/>
  <c r="BC34" i="19"/>
  <c r="AQ49" i="19"/>
  <c r="AP58" i="19"/>
  <c r="AT35" i="19"/>
  <c r="BC11" i="19"/>
  <c r="BB61" i="19"/>
  <c r="AT38" i="19"/>
  <c r="BH59" i="19"/>
  <c r="AU56" i="19"/>
  <c r="BB13" i="19"/>
  <c r="AQ51" i="19"/>
  <c r="AU38" i="19"/>
  <c r="BD6" i="19"/>
  <c r="AT33" i="19"/>
  <c r="AU33" i="19"/>
  <c r="BL45" i="19"/>
  <c r="AV50" i="19"/>
  <c r="BD23" i="19"/>
  <c r="BD35" i="19"/>
  <c r="BC36" i="19"/>
  <c r="AP15" i="19"/>
  <c r="AT16" i="19"/>
  <c r="BD25" i="19"/>
  <c r="BD54" i="19"/>
  <c r="BC21" i="19"/>
  <c r="AQ2" i="19"/>
  <c r="AQ57" i="19"/>
  <c r="BB58" i="19"/>
  <c r="AQ61" i="19"/>
  <c r="BB41" i="19"/>
  <c r="AU43" i="19"/>
  <c r="BB6" i="19"/>
  <c r="AW56" i="19"/>
  <c r="AP34" i="19"/>
  <c r="AQ53" i="19"/>
  <c r="BF43" i="19"/>
  <c r="AU32" i="19"/>
  <c r="BA51" i="19"/>
  <c r="AQ47" i="19"/>
  <c r="AT49" i="19"/>
  <c r="BD3" i="19"/>
  <c r="AP36" i="19"/>
  <c r="BC15" i="19"/>
  <c r="BF16" i="19"/>
  <c r="BL16" i="19" s="1"/>
  <c r="BC50" i="19"/>
  <c r="AQ29" i="19"/>
  <c r="AP31" i="19"/>
  <c r="AQ33" i="19"/>
  <c r="AU36" i="19"/>
  <c r="AQ7" i="19"/>
  <c r="BF53" i="19"/>
  <c r="AO17" i="19"/>
  <c r="BK41" i="19"/>
  <c r="AV43" i="19"/>
  <c r="AU30" i="19"/>
  <c r="AV45" i="19"/>
  <c r="BB43" i="19"/>
  <c r="BL57" i="19"/>
  <c r="AQ32" i="19"/>
  <c r="BF9" i="19"/>
  <c r="BL9" i="19" s="1"/>
  <c r="BG44" i="19"/>
  <c r="BK46" i="19"/>
  <c r="BB47" i="19"/>
  <c r="BD59" i="19"/>
  <c r="BL35" i="19"/>
  <c r="AT62" i="19"/>
  <c r="AZ14" i="19"/>
  <c r="BG49" i="19"/>
  <c r="BB62" i="19"/>
  <c r="BF3" i="19"/>
  <c r="BL3" i="19" s="1"/>
  <c r="AU28" i="19"/>
  <c r="BI44" i="19"/>
  <c r="BI9" i="19"/>
  <c r="BI54" i="19"/>
  <c r="BI21" i="19"/>
  <c r="BI33" i="19"/>
  <c r="BI8" i="19"/>
  <c r="BI61" i="19"/>
  <c r="BI43" i="19"/>
  <c r="BI36" i="19"/>
  <c r="BI20" i="19"/>
  <c r="BI48" i="19"/>
  <c r="BI2" i="19"/>
  <c r="BI5" i="19"/>
  <c r="BI53" i="19"/>
  <c r="AR6" i="19"/>
  <c r="AR54" i="19"/>
  <c r="AR57" i="19"/>
  <c r="AR50" i="19"/>
  <c r="AR60" i="19"/>
  <c r="AR43" i="19"/>
  <c r="AR41" i="19"/>
  <c r="AR58" i="19"/>
  <c r="AR61" i="19"/>
  <c r="AR52" i="19"/>
  <c r="AR45" i="19"/>
  <c r="AX4" i="19"/>
  <c r="AV4" i="19" s="1"/>
  <c r="AM40" i="19"/>
  <c r="BI17" i="19"/>
  <c r="BI30" i="19"/>
  <c r="BI55" i="19"/>
  <c r="AM22" i="19"/>
  <c r="BG11" i="19"/>
  <c r="AM51" i="19"/>
  <c r="BI28" i="19"/>
  <c r="AO44" i="19"/>
  <c r="AZ7" i="19"/>
  <c r="AX31" i="19"/>
  <c r="AS43" i="19"/>
  <c r="AR56" i="19"/>
  <c r="BK8" i="19"/>
  <c r="AX20" i="19"/>
  <c r="AX32" i="19"/>
  <c r="AR5" i="19"/>
  <c r="AS33" i="19"/>
  <c r="AR48" i="19"/>
  <c r="AM39" i="19"/>
  <c r="BA34" i="19"/>
  <c r="BK47" i="19"/>
  <c r="AO27" i="19"/>
  <c r="BH13" i="19"/>
  <c r="BE52" i="19"/>
  <c r="AS62" i="19"/>
  <c r="AM47" i="19"/>
  <c r="AY22" i="19"/>
  <c r="BC22" i="19"/>
  <c r="BL59" i="19"/>
  <c r="BD14" i="19"/>
  <c r="AR10" i="19"/>
  <c r="BI50" i="19"/>
  <c r="AS23" i="19"/>
  <c r="AM13" i="19"/>
  <c r="BF25" i="19"/>
  <c r="BL25" i="19" s="1"/>
  <c r="BH51" i="19"/>
  <c r="AO16" i="19"/>
  <c r="BA49" i="19"/>
  <c r="BE46" i="19"/>
  <c r="AP52" i="19"/>
  <c r="AQ35" i="19"/>
  <c r="AR37" i="19"/>
  <c r="AP26" i="19"/>
  <c r="AQ26" i="19"/>
  <c r="AU39" i="19"/>
  <c r="BD49" i="19"/>
  <c r="BD11" i="19"/>
  <c r="BH49" i="19"/>
  <c r="AO62" i="19"/>
  <c r="BB50" i="19"/>
  <c r="BF12" i="19"/>
  <c r="BL12" i="19" s="1"/>
  <c r="AP61" i="19"/>
  <c r="BE3" i="19"/>
  <c r="AX38" i="19"/>
  <c r="BD60" i="19"/>
  <c r="AR12" i="19"/>
  <c r="BA24" i="19"/>
  <c r="AT36" i="19"/>
  <c r="BB36" i="19"/>
  <c r="AZ48" i="19"/>
  <c r="AR13" i="19"/>
  <c r="AS38" i="19"/>
  <c r="BE38" i="19"/>
  <c r="BG35" i="19"/>
  <c r="AM38" i="19"/>
  <c r="AZ4" i="19"/>
  <c r="AM16" i="19"/>
  <c r="AS16" i="19"/>
  <c r="AW28" i="19"/>
  <c r="AR40" i="19"/>
  <c r="BC52" i="19"/>
  <c r="AO14" i="19"/>
  <c r="BC23" i="19"/>
  <c r="AX34" i="19"/>
  <c r="BE44" i="19"/>
  <c r="BK7" i="19"/>
  <c r="BI31" i="19"/>
  <c r="AY29" i="19"/>
  <c r="AZ56" i="19"/>
  <c r="AX8" i="19"/>
  <c r="BH44" i="19"/>
  <c r="BA7" i="19"/>
  <c r="AM61" i="19"/>
  <c r="BI27" i="19"/>
  <c r="BI15" i="19"/>
  <c r="BE58" i="19"/>
  <c r="AT46" i="19"/>
  <c r="AW39" i="19"/>
  <c r="AU48" i="19"/>
  <c r="AZ8" i="19"/>
  <c r="AX22" i="19"/>
  <c r="AP22" i="19"/>
  <c r="AY59" i="19"/>
  <c r="AS14" i="19"/>
  <c r="AQ14" i="19"/>
  <c r="AQ10" i="19"/>
  <c r="BI59" i="19"/>
  <c r="BG23" i="19"/>
  <c r="AY25" i="19"/>
  <c r="AS25" i="19"/>
  <c r="AR51" i="19"/>
  <c r="BF50" i="19"/>
  <c r="AP46" i="19"/>
  <c r="AQ59" i="19"/>
  <c r="BB35" i="19"/>
  <c r="BE37" i="19"/>
  <c r="AO26" i="19"/>
  <c r="AO39" i="19"/>
  <c r="BF39" i="19"/>
  <c r="AX11" i="19"/>
  <c r="AQ11" i="19"/>
  <c r="AR49" i="19"/>
  <c r="BA50" i="19"/>
  <c r="BF14" i="19"/>
  <c r="BL14" i="19" s="1"/>
  <c r="AO61" i="19"/>
  <c r="AP3" i="19"/>
  <c r="AR3" i="19"/>
  <c r="AO40" i="19"/>
  <c r="AQ60" i="19"/>
  <c r="AX12" i="19"/>
  <c r="BC12" i="19"/>
  <c r="AQ36" i="19"/>
  <c r="AO36" i="19"/>
  <c r="BL48" i="19"/>
  <c r="BG13" i="19"/>
  <c r="AP38" i="19"/>
  <c r="AR38" i="19"/>
  <c r="AY40" i="19"/>
  <c r="AO4" i="19"/>
  <c r="BI4" i="19"/>
  <c r="AP16" i="19"/>
  <c r="BG28" i="19"/>
  <c r="AV28" i="19" s="1"/>
  <c r="BD40" i="19"/>
  <c r="BB26" i="19"/>
  <c r="BF58" i="19"/>
  <c r="AM55" i="19"/>
  <c r="BI58" i="19"/>
  <c r="AR47" i="19"/>
  <c r="AX26" i="19"/>
  <c r="AR14" i="19"/>
  <c r="BE12" i="19"/>
  <c r="AM17" i="19"/>
  <c r="BK2" i="19"/>
  <c r="BK48" i="19"/>
  <c r="BK30" i="19"/>
  <c r="BK55" i="19"/>
  <c r="BK10" i="19"/>
  <c r="BK44" i="19"/>
  <c r="BK9" i="19"/>
  <c r="BK54" i="19"/>
  <c r="BK12" i="19"/>
  <c r="BK21" i="19"/>
  <c r="BK60" i="19"/>
  <c r="BK16" i="19"/>
  <c r="BK18" i="19"/>
  <c r="BK24" i="19"/>
  <c r="BK33" i="19"/>
  <c r="AZ42" i="19"/>
  <c r="AZ6" i="19"/>
  <c r="AZ18" i="19"/>
  <c r="AZ55" i="19"/>
  <c r="AZ53" i="19"/>
  <c r="AZ2" i="19"/>
  <c r="AZ35" i="19"/>
  <c r="AZ44" i="19"/>
  <c r="AX7" i="19"/>
  <c r="BE20" i="19"/>
  <c r="BI32" i="19"/>
  <c r="AO21" i="19"/>
  <c r="BA17" i="19"/>
  <c r="AT50" i="19"/>
  <c r="AM5" i="19"/>
  <c r="AT34" i="19"/>
  <c r="AZ34" i="19"/>
  <c r="BH23" i="19"/>
  <c r="BA58" i="19"/>
  <c r="AT3" i="19"/>
  <c r="AM24" i="19"/>
  <c r="AZ49" i="19"/>
  <c r="BA22" i="19"/>
  <c r="BK59" i="19"/>
  <c r="BE10" i="19"/>
  <c r="BE61" i="19"/>
  <c r="BE23" i="19"/>
  <c r="BG51" i="19"/>
  <c r="BI52" i="19"/>
  <c r="AO46" i="19"/>
  <c r="AY35" i="19"/>
  <c r="AO35" i="19"/>
  <c r="AW37" i="19"/>
  <c r="BA26" i="19"/>
  <c r="BK39" i="19"/>
  <c r="AS39" i="19"/>
  <c r="BB11" i="19"/>
  <c r="BF49" i="19"/>
  <c r="AZ62" i="19"/>
  <c r="AZ50" i="19"/>
  <c r="BE16" i="19"/>
  <c r="BL61" i="19"/>
  <c r="BG3" i="19"/>
  <c r="BC47" i="19"/>
  <c r="BC60" i="19"/>
  <c r="AT12" i="19"/>
  <c r="AP12" i="19"/>
  <c r="BH24" i="19"/>
  <c r="BL36" i="19"/>
  <c r="BF48" i="19"/>
  <c r="AY48" i="19"/>
  <c r="BK13" i="19"/>
  <c r="BL38" i="19"/>
  <c r="BD38" i="19"/>
  <c r="BG15" i="19"/>
  <c r="BI46" i="19"/>
  <c r="BA16" i="19"/>
  <c r="AY28" i="19"/>
  <c r="AT28" i="19"/>
  <c r="BH40" i="19"/>
  <c r="BB52" i="19"/>
  <c r="BH38" i="19"/>
  <c r="BE11" i="19"/>
  <c r="BH30" i="19"/>
  <c r="AX5" i="19"/>
  <c r="BA19" i="19"/>
  <c r="AZ54" i="19"/>
  <c r="BE55" i="19"/>
  <c r="AR8" i="19"/>
  <c r="BH33" i="19"/>
  <c r="AX47" i="19"/>
  <c r="BI25" i="19"/>
  <c r="BJ25" i="19" s="1"/>
  <c r="AM46" i="19"/>
  <c r="BK23" i="19"/>
  <c r="AX50" i="19"/>
  <c r="AR44" i="19"/>
  <c r="AS22" i="19"/>
  <c r="AX59" i="19"/>
  <c r="BI14" i="19"/>
  <c r="AZ20" i="19"/>
  <c r="AX23" i="19"/>
  <c r="BA25" i="19"/>
  <c r="BK27" i="19"/>
  <c r="AW35" i="19"/>
  <c r="BA35" i="19"/>
  <c r="BF37" i="19"/>
  <c r="AU26" i="19"/>
  <c r="BE39" i="19"/>
  <c r="AO11" i="19"/>
  <c r="AS49" i="19"/>
  <c r="BK62" i="19"/>
  <c r="BH50" i="19"/>
  <c r="BE22" i="19"/>
  <c r="AZ61" i="19"/>
  <c r="BA3" i="19"/>
  <c r="BG10" i="19"/>
  <c r="BG48" i="19"/>
  <c r="AP60" i="19"/>
  <c r="BB12" i="19"/>
  <c r="AQ24" i="19"/>
  <c r="AP48" i="19"/>
  <c r="BC4" i="19"/>
  <c r="AT13" i="19"/>
  <c r="AO38" i="19"/>
  <c r="AQ38" i="19"/>
  <c r="AO15" i="19"/>
  <c r="BG47" i="19"/>
  <c r="AR16" i="19"/>
  <c r="BF28" i="19"/>
  <c r="BL28" i="19" s="1"/>
  <c r="AP40" i="19"/>
  <c r="BA52" i="19"/>
  <c r="BK50" i="19"/>
  <c r="AM18" i="19"/>
  <c r="AM54" i="19"/>
  <c r="AM6" i="19"/>
  <c r="AM42" i="19"/>
  <c r="AM30" i="19"/>
  <c r="AM2" i="19"/>
  <c r="AM20" i="19"/>
  <c r="AM44" i="19"/>
  <c r="AM8" i="19"/>
  <c r="AM32" i="19"/>
  <c r="AM56" i="19"/>
  <c r="AM45" i="19"/>
  <c r="AM9" i="19"/>
  <c r="AM36" i="19"/>
  <c r="AM59" i="19"/>
  <c r="AM35" i="19"/>
  <c r="AM37" i="19"/>
  <c r="AM33" i="19"/>
  <c r="AM58" i="19"/>
  <c r="AM21" i="19"/>
  <c r="AM60" i="19"/>
  <c r="AM57" i="19"/>
  <c r="AX9" i="19"/>
  <c r="AX18" i="19"/>
  <c r="AX56" i="19"/>
  <c r="AX40" i="19"/>
  <c r="AX2" i="19"/>
  <c r="AX37" i="19"/>
  <c r="AX42" i="19"/>
  <c r="AX53" i="19"/>
  <c r="AX44" i="19"/>
  <c r="AX46" i="19"/>
  <c r="AX48" i="19"/>
  <c r="AX55" i="19"/>
  <c r="AX27" i="19"/>
  <c r="BE34" i="19"/>
  <c r="BE14" i="19"/>
  <c r="AR23" i="19"/>
  <c r="BI37" i="19"/>
  <c r="BI49" i="19"/>
  <c r="AS5" i="19"/>
  <c r="AS30" i="19"/>
  <c r="AS53" i="19"/>
  <c r="AS2" i="19"/>
  <c r="AS54" i="19"/>
  <c r="AS56" i="19"/>
  <c r="AS60" i="19"/>
  <c r="AS41" i="19"/>
  <c r="AS44" i="19"/>
  <c r="AS57" i="19"/>
  <c r="AS59" i="19"/>
  <c r="AS52" i="19"/>
  <c r="BG30" i="19"/>
  <c r="BG54" i="19"/>
  <c r="BG60" i="19"/>
  <c r="BG9" i="19"/>
  <c r="BG21" i="19"/>
  <c r="BG45" i="19"/>
  <c r="BG56" i="19"/>
  <c r="BG7" i="19"/>
  <c r="BG32" i="19"/>
  <c r="BG57" i="19"/>
  <c r="BG43" i="19"/>
  <c r="BG33" i="19"/>
  <c r="BG46" i="19"/>
  <c r="BG42" i="19"/>
  <c r="BG6" i="19"/>
  <c r="BG18" i="19"/>
  <c r="BG20" i="19"/>
  <c r="BG31" i="19"/>
  <c r="BG2" i="19"/>
  <c r="AM25" i="19"/>
  <c r="BG62" i="19"/>
  <c r="AR7" i="19"/>
  <c r="AX17" i="19"/>
  <c r="AS9" i="19"/>
  <c r="BI6" i="19"/>
  <c r="BH5" i="19"/>
  <c r="BG53" i="19"/>
  <c r="BH18" i="19"/>
  <c r="AS34" i="19"/>
  <c r="BH29" i="19"/>
  <c r="AX54" i="19"/>
  <c r="BH6" i="19"/>
  <c r="AS42" i="19"/>
  <c r="AY43" i="19"/>
  <c r="BE8" i="19"/>
  <c r="BE32" i="19"/>
  <c r="AZ29" i="19"/>
  <c r="BA27" i="19"/>
  <c r="BI34" i="19"/>
  <c r="BH27" i="19"/>
  <c r="AZ58" i="19"/>
  <c r="AX49" i="19"/>
  <c r="AZ22" i="19"/>
  <c r="BK52" i="19"/>
  <c r="AM50" i="19"/>
  <c r="BK51" i="19"/>
  <c r="BH58" i="19"/>
  <c r="BC46" i="19"/>
  <c r="AU35" i="19"/>
  <c r="AS37" i="19"/>
  <c r="AY26" i="19"/>
  <c r="BI39" i="19"/>
  <c r="AR39" i="19"/>
  <c r="AS11" i="19"/>
  <c r="BA11" i="19"/>
  <c r="BB49" i="19"/>
  <c r="AY62" i="19"/>
  <c r="AU50" i="19"/>
  <c r="BC26" i="19"/>
  <c r="BG12" i="19"/>
  <c r="AQ52" i="19"/>
  <c r="BB60" i="19"/>
  <c r="AQ12" i="19"/>
  <c r="AO12" i="19"/>
  <c r="BE24" i="19"/>
  <c r="AX36" i="19"/>
  <c r="BE48" i="19"/>
  <c r="BH26" i="19"/>
  <c r="BE13" i="19"/>
  <c r="BK38" i="19"/>
  <c r="AM15" i="19"/>
  <c r="BK4" i="19"/>
  <c r="AT4" i="19"/>
  <c r="BD16" i="19"/>
  <c r="AR28" i="19"/>
  <c r="AS28" i="19"/>
  <c r="BI40" i="19"/>
  <c r="AM52" i="19"/>
  <c r="BB15" i="19"/>
  <c r="BD22" i="19"/>
  <c r="BI19" i="19"/>
  <c r="AR26" i="19"/>
  <c r="AM34" i="19"/>
  <c r="AR29" i="19"/>
  <c r="AR46" i="19"/>
  <c r="BG61" i="19"/>
  <c r="AS3" i="19"/>
  <c r="BI24" i="19"/>
  <c r="BH53" i="19"/>
  <c r="BH2" i="19"/>
  <c r="BH54" i="19"/>
  <c r="BH19" i="19"/>
  <c r="BH21" i="19"/>
  <c r="BH45" i="19"/>
  <c r="BH32" i="19"/>
  <c r="BH57" i="19"/>
  <c r="BH8" i="19"/>
  <c r="BH10" i="19"/>
  <c r="BH61" i="19"/>
  <c r="BH43" i="19"/>
  <c r="BH60" i="19"/>
  <c r="BH12" i="19"/>
  <c r="BH36" i="19"/>
  <c r="BH48" i="19"/>
  <c r="BH31" i="19"/>
  <c r="BH28" i="19"/>
  <c r="BH22" i="19"/>
  <c r="BG19" i="19"/>
  <c r="BJ56" i="19"/>
  <c r="BJ55" i="19"/>
  <c r="BJ60" i="19"/>
  <c r="AR32" i="19"/>
  <c r="BK29" i="19"/>
  <c r="AM29" i="19"/>
  <c r="BH17" i="19"/>
  <c r="AS18" i="19"/>
  <c r="BA42" i="19"/>
  <c r="AZ21" i="19"/>
  <c r="AR17" i="19"/>
  <c r="BI11" i="19"/>
  <c r="AR9" i="19"/>
  <c r="BG41" i="19"/>
  <c r="AM53" i="19"/>
  <c r="BH20" i="19"/>
  <c r="AR33" i="19"/>
  <c r="AS29" i="19"/>
  <c r="AR22" i="19"/>
  <c r="AX10" i="19"/>
  <c r="BC25" i="19"/>
  <c r="AP42" i="19"/>
  <c r="AP30" i="19"/>
  <c r="AP29" i="19"/>
  <c r="AP41" i="19"/>
  <c r="AP57" i="19"/>
  <c r="AP32" i="19"/>
  <c r="AP21" i="19"/>
  <c r="AP20" i="19"/>
  <c r="AP54" i="19"/>
  <c r="AP56" i="19"/>
  <c r="AP33" i="19"/>
  <c r="AP45" i="19"/>
  <c r="AP23" i="19"/>
  <c r="AP19" i="19"/>
  <c r="AP43" i="19"/>
  <c r="AP53" i="19"/>
  <c r="BK43" i="19"/>
  <c r="AP2" i="19"/>
  <c r="BG5" i="19"/>
  <c r="BG17" i="19"/>
  <c r="AU29" i="19"/>
  <c r="AT41" i="19"/>
  <c r="AS19" i="19"/>
  <c r="AR21" i="19"/>
  <c r="AQ55" i="19"/>
  <c r="AX6" i="19"/>
  <c r="BE30" i="19"/>
  <c r="BK42" i="19"/>
  <c r="AY54" i="19"/>
  <c r="BK57" i="19"/>
  <c r="BB31" i="19"/>
  <c r="BA55" i="19"/>
  <c r="AO5" i="19"/>
  <c r="AP44" i="19"/>
  <c r="BE2" i="19"/>
  <c r="AR20" i="19"/>
  <c r="AO32" i="19"/>
  <c r="BL44" i="19"/>
  <c r="AO9" i="19"/>
  <c r="AY21" i="19"/>
  <c r="BA31" i="19"/>
  <c r="BD58" i="19"/>
  <c r="BC41" i="19"/>
  <c r="AO34" i="19"/>
  <c r="AU47" i="19"/>
  <c r="AZ27" i="19"/>
  <c r="AU27" i="19"/>
  <c r="BA37" i="19"/>
  <c r="AR62" i="19"/>
  <c r="BL58" i="19"/>
  <c r="BK15" i="19"/>
  <c r="AW50" i="19"/>
  <c r="AS7" i="19"/>
  <c r="BG27" i="19"/>
  <c r="BG52" i="19"/>
  <c r="BG59" i="19"/>
  <c r="BA47" i="19"/>
  <c r="AO59" i="19"/>
  <c r="BA14" i="19"/>
  <c r="AQ58" i="19"/>
  <c r="BI10" i="19"/>
  <c r="AY23" i="19"/>
  <c r="AP25" i="19"/>
  <c r="AW51" i="19"/>
  <c r="BH34" i="19"/>
  <c r="AM48" i="19"/>
  <c r="AS35" i="19"/>
  <c r="AU37" i="19"/>
  <c r="BD37" i="19"/>
  <c r="BK26" i="19"/>
  <c r="BG39" i="19"/>
  <c r="AR4" i="19"/>
  <c r="AZ11" i="19"/>
  <c r="AO49" i="19"/>
  <c r="BL62" i="19"/>
  <c r="BD50" i="19"/>
  <c r="AO28" i="19"/>
  <c r="BA61" i="19"/>
  <c r="BH14" i="19"/>
  <c r="AS58" i="19"/>
  <c r="AZ24" i="19"/>
  <c r="AR24" i="19"/>
  <c r="BK36" i="19"/>
  <c r="AO48" i="19"/>
  <c r="BF13" i="19"/>
  <c r="BL13" i="19" s="1"/>
  <c r="BI38" i="19"/>
  <c r="AZ15" i="19"/>
  <c r="AS50" i="19"/>
  <c r="AP4" i="19"/>
  <c r="BF4" i="19"/>
  <c r="BL4" i="19" s="1"/>
  <c r="AM28" i="19"/>
  <c r="BL40" i="19"/>
  <c r="AW40" i="19"/>
  <c r="AX52" i="19"/>
  <c r="BF61" i="19"/>
  <c r="BI42" i="19"/>
  <c r="BI51" i="19"/>
  <c r="BI3" i="19"/>
  <c r="BG36" i="19"/>
  <c r="AT18" i="19"/>
  <c r="AT30" i="19"/>
  <c r="AT6" i="19"/>
  <c r="AT42" i="19"/>
  <c r="AT2" i="19"/>
  <c r="AT60" i="19"/>
  <c r="AT58" i="19"/>
  <c r="AT59" i="19"/>
  <c r="AT43" i="19"/>
  <c r="AT52" i="19"/>
  <c r="AT44" i="19"/>
  <c r="AT54" i="19"/>
  <c r="AT57" i="19"/>
  <c r="AX41" i="19"/>
  <c r="BI18" i="19"/>
  <c r="BH56" i="19"/>
  <c r="BH41" i="19"/>
  <c r="AO43" i="19"/>
  <c r="BA54" i="19"/>
  <c r="BA18" i="19"/>
  <c r="BA30" i="19"/>
  <c r="BA44" i="19"/>
  <c r="BA29" i="19"/>
  <c r="BA45" i="19"/>
  <c r="BA56" i="19"/>
  <c r="BA36" i="19"/>
  <c r="BA2" i="19"/>
  <c r="BA6" i="19"/>
  <c r="BA46" i="19"/>
  <c r="BA57" i="19"/>
  <c r="BA43" i="19"/>
  <c r="BA53" i="19"/>
  <c r="BG55" i="19"/>
  <c r="AX33" i="19"/>
  <c r="BA9" i="19"/>
  <c r="BH25" i="19"/>
  <c r="AY47" i="19"/>
  <c r="AT48" i="19"/>
  <c r="BC42" i="19"/>
  <c r="BC54" i="19"/>
  <c r="BC43" i="19"/>
  <c r="BC53" i="19"/>
  <c r="BC5" i="19"/>
  <c r="BC29" i="19"/>
  <c r="BC35" i="19"/>
  <c r="BC45" i="19"/>
  <c r="BC31" i="19"/>
  <c r="BC8" i="19"/>
  <c r="BC18" i="19"/>
  <c r="BC20" i="19"/>
  <c r="BC6" i="19"/>
  <c r="BC33" i="19"/>
  <c r="BC28" i="19"/>
  <c r="BC56" i="19"/>
  <c r="BC7" i="19"/>
  <c r="BC17" i="19"/>
  <c r="BC32" i="19"/>
  <c r="BC55" i="19"/>
  <c r="BC58" i="19"/>
  <c r="BI57" i="19"/>
  <c r="AS20" i="19"/>
  <c r="AX57" i="19"/>
  <c r="AS55" i="19"/>
  <c r="AR2" i="19"/>
  <c r="AV47" i="19"/>
  <c r="BK14" i="19"/>
  <c r="BI35" i="19"/>
  <c r="BI13" i="19"/>
  <c r="AM3" i="19"/>
  <c r="BC51" i="19"/>
  <c r="BA59" i="19"/>
  <c r="AU53" i="19"/>
  <c r="AU58" i="19"/>
  <c r="AU54" i="19"/>
  <c r="AU59" i="19"/>
  <c r="AU57" i="19"/>
  <c r="AU60" i="19"/>
  <c r="AU40" i="19"/>
  <c r="AP17" i="19"/>
  <c r="BB8" i="19"/>
  <c r="BB17" i="19"/>
  <c r="BB20" i="19"/>
  <c r="BB54" i="19"/>
  <c r="BB7" i="19"/>
  <c r="BB19" i="19"/>
  <c r="BB57" i="19"/>
  <c r="BB45" i="19"/>
  <c r="BB55" i="19"/>
  <c r="BB38" i="19"/>
  <c r="BB30" i="19"/>
  <c r="BB56" i="19"/>
  <c r="AQ43" i="19"/>
  <c r="AQ42" i="19"/>
  <c r="AQ40" i="19"/>
  <c r="AQ41" i="19"/>
  <c r="AQ56" i="19"/>
  <c r="AQ9" i="19"/>
  <c r="AQ45" i="19"/>
  <c r="BD41" i="19"/>
  <c r="BD21" i="19"/>
  <c r="BD2" i="19"/>
  <c r="BD42" i="19"/>
  <c r="BD17" i="19"/>
  <c r="BD32" i="19"/>
  <c r="BD43" i="19"/>
  <c r="BD53" i="19"/>
  <c r="BD5" i="19"/>
  <c r="BD4" i="19"/>
  <c r="BD28" i="19"/>
  <c r="BD12" i="19"/>
  <c r="BD24" i="19"/>
  <c r="BD31" i="19"/>
  <c r="BD30" i="19"/>
  <c r="BD8" i="19"/>
  <c r="BD18" i="19"/>
  <c r="BD33" i="19"/>
  <c r="BD47" i="19"/>
  <c r="BD9" i="19"/>
  <c r="BD19" i="19"/>
  <c r="BD45" i="19"/>
  <c r="BD57" i="19"/>
  <c r="AQ18" i="19"/>
  <c r="BB44" i="19"/>
  <c r="AZ5" i="19"/>
  <c r="AT5" i="19"/>
  <c r="AT17" i="19"/>
  <c r="BG29" i="19"/>
  <c r="BB53" i="19"/>
  <c r="AZ19" i="19"/>
  <c r="AR30" i="19"/>
  <c r="BF55" i="19"/>
  <c r="AP6" i="19"/>
  <c r="AR18" i="19"/>
  <c r="AZ30" i="19"/>
  <c r="AR42" i="19"/>
  <c r="AT19" i="19"/>
  <c r="AT7" i="19"/>
  <c r="AS31" i="19"/>
  <c r="AO55" i="19"/>
  <c r="BF44" i="19"/>
  <c r="AM7" i="19"/>
  <c r="BG8" i="19"/>
  <c r="BD20" i="19"/>
  <c r="AZ32" i="19"/>
  <c r="AY44" i="19"/>
  <c r="AZ9" i="19"/>
  <c r="BK45" i="19"/>
  <c r="BA33" i="19"/>
  <c r="AO33" i="19"/>
  <c r="AR34" i="19"/>
  <c r="AW59" i="19"/>
  <c r="AR53" i="19"/>
  <c r="BD34" i="19"/>
  <c r="BI47" i="19"/>
  <c r="AY27" i="19"/>
  <c r="BF27" i="19"/>
  <c r="BL27" i="19" s="1"/>
  <c r="AT39" i="19"/>
  <c r="BI62" i="19"/>
  <c r="BK58" i="19"/>
  <c r="BI23" i="19"/>
  <c r="BB51" i="19"/>
  <c r="AR19" i="19"/>
  <c r="BF34" i="19"/>
  <c r="BG58" i="19"/>
  <c r="AX61" i="19"/>
  <c r="BI22" i="19"/>
  <c r="AW62" i="19"/>
  <c r="AZ38" i="19"/>
  <c r="BB14" i="19"/>
  <c r="BD61" i="19"/>
  <c r="AS10" i="19"/>
  <c r="BB23" i="19"/>
  <c r="AR25" i="19"/>
  <c r="BA38" i="19"/>
  <c r="BF51" i="19"/>
  <c r="AZ36" i="19"/>
  <c r="AX21" i="19"/>
  <c r="BB46" i="19"/>
  <c r="AR35" i="19"/>
  <c r="AT37" i="19"/>
  <c r="AQ37" i="19"/>
  <c r="AS26" i="19"/>
  <c r="BD39" i="19"/>
  <c r="BD10" i="19"/>
  <c r="AP11" i="19"/>
  <c r="AW49" i="19"/>
  <c r="BL49" i="19"/>
  <c r="BJ62" i="19"/>
  <c r="AQ50" i="19"/>
  <c r="BK61" i="19"/>
  <c r="AX3" i="19"/>
  <c r="BH16" i="19"/>
  <c r="AR59" i="19"/>
  <c r="AO60" i="19"/>
  <c r="BI12" i="19"/>
  <c r="AY24" i="19"/>
  <c r="AW24" i="19" s="1"/>
  <c r="BC24" i="19"/>
  <c r="AS36" i="19"/>
  <c r="AS13" i="19"/>
  <c r="BC38" i="19"/>
  <c r="AX15" i="19"/>
  <c r="BF15" i="19"/>
  <c r="BL15" i="19" s="1"/>
  <c r="AX51" i="19"/>
  <c r="AM4" i="19"/>
  <c r="AS4" i="19"/>
  <c r="AZ16" i="19"/>
  <c r="AP28" i="19"/>
  <c r="BG40" i="19"/>
  <c r="AZ52" i="19"/>
  <c r="BC39" i="19"/>
  <c r="BA13" i="19"/>
  <c r="BH7" i="19"/>
  <c r="AT31" i="19"/>
  <c r="AT8" i="19"/>
  <c r="AX45" i="19"/>
  <c r="AM19" i="19"/>
  <c r="AQ8" i="19"/>
  <c r="BA20" i="19"/>
  <c r="BA32" i="19"/>
  <c r="AZ57" i="19"/>
  <c r="AW45" i="19"/>
  <c r="BI41" i="19"/>
  <c r="AZ33" i="19"/>
  <c r="BH35" i="19"/>
  <c r="AV60" i="19"/>
  <c r="BK34" i="19"/>
  <c r="BG34" i="19"/>
  <c r="AT47" i="19"/>
  <c r="AS27" i="19"/>
  <c r="BA40" i="19"/>
  <c r="AM23" i="19"/>
  <c r="AX58" i="19"/>
  <c r="BK25" i="19"/>
  <c r="BF52" i="19"/>
  <c r="AY31" i="19"/>
  <c r="AY36" i="19"/>
  <c r="AU62" i="19"/>
  <c r="AQ22" i="19"/>
  <c r="BC59" i="19"/>
  <c r="AX14" i="19"/>
  <c r="AM27" i="19"/>
  <c r="BC10" i="19"/>
  <c r="AZ23" i="19"/>
  <c r="AO23" i="19"/>
  <c r="BE25" i="19"/>
  <c r="AO51" i="19"/>
  <c r="AS51" i="19"/>
  <c r="BH37" i="19"/>
  <c r="BE51" i="19"/>
  <c r="AZ46" i="19"/>
  <c r="BC37" i="19"/>
  <c r="BG26" i="19"/>
  <c r="AZ39" i="19"/>
  <c r="BC14" i="19"/>
  <c r="AV49" i="19"/>
  <c r="AY49" i="19"/>
  <c r="AX62" i="19"/>
  <c r="BL50" i="19"/>
  <c r="BL34" i="19"/>
  <c r="AY61" i="19"/>
  <c r="BG22" i="19"/>
  <c r="BJ59" i="19"/>
  <c r="AX24" i="19"/>
  <c r="AP24" i="19"/>
  <c r="BD36" i="19"/>
  <c r="BC48" i="19"/>
  <c r="AX13" i="19"/>
  <c r="BD13" i="19"/>
  <c r="AT15" i="19"/>
  <c r="AS15" i="19"/>
  <c r="BH4" i="19"/>
  <c r="BB16" i="19"/>
  <c r="BI16" i="19"/>
  <c r="AQ28" i="19"/>
  <c r="BK40" i="19"/>
  <c r="AT40" i="19"/>
  <c r="BH52" i="19"/>
  <c r="BD51" i="19"/>
  <c r="BB25" i="19"/>
  <c r="BE42" i="19"/>
  <c r="BE7" i="19"/>
  <c r="BE9" i="19"/>
  <c r="BE19" i="19"/>
  <c r="BE45" i="19"/>
  <c r="BE57" i="19"/>
  <c r="BE17" i="19"/>
  <c r="BE43" i="19"/>
  <c r="BE53" i="19"/>
  <c r="BE5" i="19"/>
  <c r="BE4" i="19"/>
  <c r="BE29" i="19"/>
  <c r="BE54" i="19"/>
  <c r="BE33" i="19"/>
  <c r="BE47" i="19"/>
  <c r="BE31" i="19"/>
  <c r="BE6" i="19"/>
  <c r="BE21" i="19"/>
  <c r="BE56" i="19"/>
  <c r="AM43" i="19"/>
  <c r="AX60" i="19"/>
  <c r="AR11" i="19"/>
  <c r="AM10" i="19"/>
  <c r="AS8" i="19"/>
  <c r="AO41" i="19"/>
  <c r="AO20" i="19"/>
  <c r="AO31" i="19"/>
  <c r="AO54" i="19"/>
  <c r="AO56" i="19"/>
  <c r="AO57" i="19"/>
  <c r="AO2" i="19"/>
  <c r="AO45" i="19"/>
  <c r="AO8" i="19"/>
  <c r="AO18" i="19"/>
  <c r="AO25" i="19"/>
  <c r="AO30" i="19"/>
  <c r="AO42" i="19"/>
  <c r="AY55" i="19"/>
  <c r="AY41" i="19"/>
  <c r="AY56" i="19"/>
  <c r="AX29" i="19"/>
  <c r="AM41" i="19"/>
  <c r="BI7" i="19"/>
  <c r="AZ51" i="19"/>
  <c r="AV56" i="19"/>
  <c r="AV53" i="19"/>
  <c r="AV58" i="19"/>
  <c r="AV54" i="19"/>
  <c r="AV55" i="19"/>
  <c r="AV46" i="19"/>
  <c r="AV44" i="19"/>
  <c r="AT45" i="19"/>
  <c r="BI29" i="19"/>
  <c r="AT29" i="19"/>
  <c r="AO53" i="19"/>
  <c r="BK19" i="19"/>
  <c r="AR31" i="19"/>
  <c r="BK6" i="19"/>
  <c r="BE18" i="19"/>
  <c r="BC30" i="19"/>
  <c r="AW54" i="19"/>
  <c r="AW29" i="19"/>
  <c r="AW48" i="19"/>
  <c r="AW44" i="19"/>
  <c r="AW55" i="19"/>
  <c r="AW41" i="19"/>
  <c r="BL56" i="19"/>
  <c r="BL55" i="19"/>
  <c r="BL31" i="19"/>
  <c r="BL41" i="19"/>
  <c r="BF2" i="19"/>
  <c r="BL2" i="19" s="1"/>
  <c r="BF21" i="19"/>
  <c r="BL21" i="19" s="1"/>
  <c r="BF56" i="19"/>
  <c r="BF7" i="19"/>
  <c r="BL7" i="19" s="1"/>
  <c r="BF19" i="19"/>
  <c r="BL19" i="19" s="1"/>
  <c r="BF32" i="19"/>
  <c r="BF57" i="19"/>
  <c r="BF17" i="19"/>
  <c r="BL17" i="19" s="1"/>
  <c r="BF62" i="19"/>
  <c r="BF5" i="19"/>
  <c r="BL5" i="19" s="1"/>
  <c r="BF42" i="19"/>
  <c r="BF60" i="19"/>
  <c r="BF29" i="19"/>
  <c r="BF20" i="19"/>
  <c r="BL20" i="19" s="1"/>
  <c r="BF24" i="19"/>
  <c r="BL24" i="19" s="1"/>
  <c r="BF36" i="19"/>
  <c r="BF8" i="19"/>
  <c r="BL8" i="19" s="1"/>
  <c r="BF6" i="19"/>
  <c r="BL6" i="19" s="1"/>
  <c r="BF35" i="19"/>
  <c r="BF47" i="19"/>
  <c r="BF30" i="19"/>
  <c r="BF54" i="19"/>
  <c r="BI45" i="19"/>
  <c r="AO29" i="19"/>
  <c r="BE41" i="19"/>
  <c r="BK53" i="19"/>
  <c r="AX19" i="19"/>
  <c r="AS32" i="19"/>
  <c r="BI56" i="19"/>
  <c r="AQ6" i="19"/>
  <c r="BF18" i="19"/>
  <c r="BL18" i="19" s="1"/>
  <c r="AX30" i="19"/>
  <c r="AY42" i="19"/>
  <c r="AT21" i="19"/>
  <c r="AO7" i="19"/>
  <c r="BF31" i="19"/>
  <c r="AT9" i="19"/>
  <c r="AT53" i="19"/>
  <c r="AM31" i="19"/>
  <c r="BA8" i="19"/>
  <c r="BC57" i="19"/>
  <c r="BF45" i="19"/>
  <c r="AZ43" i="19"/>
  <c r="BL33" i="19"/>
  <c r="AZ37" i="19"/>
  <c r="AT61" i="19"/>
  <c r="AZ47" i="19"/>
  <c r="AQ34" i="19"/>
  <c r="BH47" i="19"/>
  <c r="AT27" i="19"/>
  <c r="BE27" i="19"/>
  <c r="AS48" i="19"/>
  <c r="AM62" i="19"/>
  <c r="AY58" i="19"/>
  <c r="BD27" i="19"/>
  <c r="AX43" i="19"/>
  <c r="BG37" i="19"/>
  <c r="BE60" i="19"/>
  <c r="AM26" i="19"/>
  <c r="BK22" i="19"/>
  <c r="AP59" i="19"/>
  <c r="AM14" i="19"/>
  <c r="BG14" i="19"/>
  <c r="BB10" i="19"/>
  <c r="AP10" i="19"/>
  <c r="AU23" i="19"/>
  <c r="BA23" i="19"/>
  <c r="AX25" i="19"/>
  <c r="AV51" i="19"/>
  <c r="BL51" i="19"/>
  <c r="BA39" i="19"/>
  <c r="AV62" i="19"/>
  <c r="BH46" i="19"/>
  <c r="AX35" i="19"/>
  <c r="BL37" i="19"/>
  <c r="AP37" i="19"/>
  <c r="AT26" i="19"/>
  <c r="BL39" i="19"/>
  <c r="BC16" i="19"/>
  <c r="AT11" i="19"/>
  <c r="AU49" i="19"/>
  <c r="BE62" i="19"/>
  <c r="BE50" i="19"/>
  <c r="AY50" i="19"/>
  <c r="AW38" i="19"/>
  <c r="BI26" i="19"/>
  <c r="BH3" i="19"/>
  <c r="BG24" i="19"/>
  <c r="BI60" i="19"/>
  <c r="AY60" i="19"/>
  <c r="AZ12" i="19"/>
  <c r="AU24" i="19"/>
  <c r="BB24" i="19"/>
  <c r="BE36" i="19"/>
  <c r="BB48" i="19"/>
  <c r="AQ13" i="19"/>
  <c r="BF38" i="19"/>
  <c r="AQ15" i="19"/>
  <c r="BE15" i="19"/>
  <c r="AV59" i="19"/>
  <c r="BA4" i="19"/>
  <c r="BE28" i="19"/>
  <c r="BE40" i="19"/>
  <c r="BF40" i="19"/>
  <c r="AU52" i="19"/>
  <c r="AO10" i="19"/>
  <c r="AY37" i="19"/>
  <c r="BC49" i="19"/>
  <c r="AS47" i="19"/>
  <c r="AR27" i="19"/>
  <c r="AS6" i="19"/>
  <c r="BJ58" i="19"/>
  <c r="BE59" i="19"/>
  <c r="AR55" i="19"/>
  <c r="AX39" i="19"/>
  <c r="AW61" i="19"/>
  <c r="AT22" i="19"/>
  <c r="BB59" i="19"/>
  <c r="AT14" i="19"/>
  <c r="BA10" i="19"/>
  <c r="AT23" i="19"/>
  <c r="BG25" i="19"/>
  <c r="AU51" i="19"/>
  <c r="AY51" i="19"/>
  <c r="AS46" i="19"/>
  <c r="AM49" i="19"/>
  <c r="AU46" i="19"/>
  <c r="BK35" i="19"/>
  <c r="AZ26" i="19"/>
  <c r="BE26" i="19"/>
  <c r="AQ39" i="19"/>
  <c r="BH11" i="19"/>
  <c r="AW11" i="19" s="1"/>
  <c r="BK49" i="19"/>
  <c r="AP62" i="19"/>
  <c r="AO50" i="19"/>
  <c r="BC61" i="19"/>
  <c r="BK3" i="19"/>
  <c r="BF26" i="19"/>
  <c r="BL26" i="19" s="1"/>
  <c r="AM12" i="19"/>
  <c r="AZ60" i="19"/>
  <c r="AT24" i="19"/>
  <c r="AO24" i="19"/>
  <c r="AR36" i="19"/>
  <c r="BA48" i="19"/>
  <c r="AZ13" i="19"/>
  <c r="BC13" i="19"/>
  <c r="BA15" i="19"/>
  <c r="AR15" i="19"/>
  <c r="AS61" i="19"/>
  <c r="AQ4" i="19"/>
  <c r="AX16" i="19"/>
  <c r="BG16" i="19"/>
  <c r="BA28" i="19"/>
  <c r="BC40" i="19"/>
  <c r="AS40" i="19"/>
  <c r="BL52" i="19"/>
  <c r="AY34" i="19"/>
  <c r="BE49" i="19"/>
  <c r="S28" i="10"/>
  <c r="Y28" i="10"/>
  <c r="M28" i="10"/>
  <c r="G28" i="10"/>
  <c r="BJ10" i="19" l="1"/>
  <c r="AW21" i="19"/>
  <c r="AW25" i="19"/>
  <c r="AW22" i="19"/>
  <c r="AW23" i="19"/>
  <c r="AW27" i="19"/>
  <c r="BB5" i="19"/>
  <c r="AV38" i="19"/>
  <c r="AW26" i="19"/>
  <c r="AV30" i="19"/>
  <c r="AV35" i="19"/>
  <c r="BJ41" i="19"/>
  <c r="BJ46" i="19"/>
  <c r="E46" i="19" s="1" a="1"/>
  <c r="E46" i="19" s="1"/>
  <c r="U46" i="19" s="1"/>
  <c r="AY7" i="19"/>
  <c r="AW7" i="19" s="1"/>
  <c r="AY3" i="19"/>
  <c r="AW3" i="19" s="1"/>
  <c r="AY15" i="19"/>
  <c r="AW15" i="19" s="1"/>
  <c r="F59" i="19" a="1"/>
  <c r="F59" i="19" s="1"/>
  <c r="V59" i="19" s="1"/>
  <c r="B59" i="19" a="1"/>
  <c r="B59" i="19" s="1"/>
  <c r="R59" i="19" s="1"/>
  <c r="C59" i="19" a="1"/>
  <c r="C59" i="19" s="1"/>
  <c r="S59" i="19" s="1"/>
  <c r="E59" i="19" a="1"/>
  <c r="E59" i="19" s="1"/>
  <c r="U59" i="19" s="1"/>
  <c r="D59" i="19" a="1"/>
  <c r="D59" i="19" s="1"/>
  <c r="T59" i="19" s="1"/>
  <c r="AY6" i="19"/>
  <c r="AY9" i="19"/>
  <c r="AW9" i="19" s="1"/>
  <c r="B61" i="19" a="1"/>
  <c r="B61" i="19" s="1"/>
  <c r="R61" i="19" s="1"/>
  <c r="D61" i="19" a="1"/>
  <c r="D61" i="19" s="1"/>
  <c r="T61" i="19" s="1"/>
  <c r="C61" i="19" a="1"/>
  <c r="C61" i="19" s="1"/>
  <c r="S61" i="19" s="1"/>
  <c r="E61" i="19" a="1"/>
  <c r="E61" i="19" s="1"/>
  <c r="U61" i="19" s="1"/>
  <c r="F61" i="19" a="1"/>
  <c r="F61" i="19" s="1"/>
  <c r="V61" i="19" s="1"/>
  <c r="BB3" i="19"/>
  <c r="G3" i="19"/>
  <c r="AY13" i="19"/>
  <c r="AW13" i="19" s="1"/>
  <c r="AY17" i="19"/>
  <c r="BB2" i="19"/>
  <c r="G2" i="19"/>
  <c r="AY10" i="19"/>
  <c r="AW10" i="19" s="1"/>
  <c r="B56" i="19" a="1"/>
  <c r="B56" i="19" s="1"/>
  <c r="R56" i="19" s="1"/>
  <c r="C56" i="19" a="1"/>
  <c r="C56" i="19" s="1"/>
  <c r="S56" i="19" s="1"/>
  <c r="D56" i="19" a="1"/>
  <c r="D56" i="19" s="1"/>
  <c r="T56" i="19" s="1"/>
  <c r="E56" i="19" a="1"/>
  <c r="E56" i="19" s="1"/>
  <c r="U56" i="19" s="1"/>
  <c r="F56" i="19" a="1"/>
  <c r="F56" i="19" s="1"/>
  <c r="V56" i="19" s="1"/>
  <c r="G4" i="19"/>
  <c r="BB4" i="19"/>
  <c r="AY12" i="19"/>
  <c r="AW12" i="19" s="1"/>
  <c r="D57" i="19" a="1"/>
  <c r="D57" i="19" s="1"/>
  <c r="T57" i="19" s="1"/>
  <c r="E57" i="19" a="1"/>
  <c r="E57" i="19" s="1"/>
  <c r="U57" i="19" s="1"/>
  <c r="F57" i="19" a="1"/>
  <c r="F57" i="19" s="1"/>
  <c r="V57" i="19" s="1"/>
  <c r="C57" i="19" a="1"/>
  <c r="C57" i="19" s="1"/>
  <c r="S57" i="19" s="1"/>
  <c r="B57" i="19" a="1"/>
  <c r="B57" i="19" s="1"/>
  <c r="R57" i="19" s="1"/>
  <c r="AY18" i="19"/>
  <c r="AW18" i="19" s="1"/>
  <c r="F60" i="19" a="1"/>
  <c r="F60" i="19" s="1"/>
  <c r="V60" i="19" s="1"/>
  <c r="B60" i="19" a="1"/>
  <c r="B60" i="19" s="1"/>
  <c r="R60" i="19" s="1"/>
  <c r="C60" i="19" a="1"/>
  <c r="C60" i="19" s="1"/>
  <c r="S60" i="19" s="1"/>
  <c r="D60" i="19" a="1"/>
  <c r="D60" i="19" s="1"/>
  <c r="T60" i="19" s="1"/>
  <c r="E60" i="19" a="1"/>
  <c r="E60" i="19" s="1"/>
  <c r="U60" i="19" s="1"/>
  <c r="AY8" i="19"/>
  <c r="AW8" i="19" s="1"/>
  <c r="AY16" i="19"/>
  <c r="AW16" i="19" s="1"/>
  <c r="AY14" i="19"/>
  <c r="AW14" i="19" s="1"/>
  <c r="B55" i="19" a="1"/>
  <c r="B55" i="19" s="1"/>
  <c r="R55" i="19" s="1"/>
  <c r="C55" i="19" a="1"/>
  <c r="C55" i="19" s="1"/>
  <c r="S55" i="19" s="1"/>
  <c r="D55" i="19" a="1"/>
  <c r="D55" i="19" s="1"/>
  <c r="T55" i="19" s="1"/>
  <c r="E55" i="19" a="1"/>
  <c r="E55" i="19" s="1"/>
  <c r="U55" i="19" s="1"/>
  <c r="F55" i="19" a="1"/>
  <c r="F55" i="19" s="1"/>
  <c r="V55" i="19" s="1"/>
  <c r="AY19" i="19"/>
  <c r="AW19" i="19" s="1"/>
  <c r="AY5" i="19"/>
  <c r="AW5" i="19" s="1"/>
  <c r="AY4" i="19"/>
  <c r="E58" i="19" a="1"/>
  <c r="E58" i="19" s="1"/>
  <c r="U58" i="19" s="1"/>
  <c r="F58" i="19" a="1"/>
  <c r="F58" i="19" s="1"/>
  <c r="V58" i="19" s="1"/>
  <c r="B58" i="19" a="1"/>
  <c r="B58" i="19" s="1"/>
  <c r="R58" i="19" s="1"/>
  <c r="D58" i="19" a="1"/>
  <c r="D58" i="19" s="1"/>
  <c r="T58" i="19" s="1"/>
  <c r="C58" i="19" a="1"/>
  <c r="C58" i="19" s="1"/>
  <c r="S58" i="19" s="1"/>
  <c r="AY20" i="19"/>
  <c r="AW20" i="19" s="1"/>
  <c r="AY2" i="19"/>
  <c r="AW2" i="19" s="1"/>
  <c r="B62" i="19" a="1"/>
  <c r="B62" i="19" s="1"/>
  <c r="C62" i="19" a="1"/>
  <c r="C62" i="19" s="1"/>
  <c r="E62" i="19" a="1"/>
  <c r="E62" i="19" s="1"/>
  <c r="D62" i="19" a="1"/>
  <c r="D62" i="19" s="1"/>
  <c r="F62" i="19" a="1"/>
  <c r="F62" i="19" s="1"/>
  <c r="AV13" i="19"/>
  <c r="BJ12" i="19"/>
  <c r="BJ35" i="19"/>
  <c r="BJ3" i="19"/>
  <c r="BJ13" i="19"/>
  <c r="BJ16" i="19"/>
  <c r="BJ51" i="19"/>
  <c r="D51" i="19" s="1" a="1"/>
  <c r="D51" i="19" s="1"/>
  <c r="T51" i="19" s="1"/>
  <c r="BJ45" i="19"/>
  <c r="E45" i="19" s="1" a="1"/>
  <c r="E45" i="19" s="1"/>
  <c r="U45" i="19" s="1"/>
  <c r="AV29" i="19"/>
  <c r="BJ33" i="19"/>
  <c r="AV16" i="19"/>
  <c r="AV21" i="19"/>
  <c r="BJ32" i="19"/>
  <c r="AV18" i="19"/>
  <c r="BJ20" i="19"/>
  <c r="AV24" i="19"/>
  <c r="AV14" i="19"/>
  <c r="BJ34" i="19"/>
  <c r="AV32" i="19"/>
  <c r="AV6" i="19"/>
  <c r="AV42" i="19"/>
  <c r="BJ49" i="19"/>
  <c r="F49" i="19" s="1" a="1"/>
  <c r="F49" i="19" s="1"/>
  <c r="V49" i="19" s="1"/>
  <c r="BJ18" i="19"/>
  <c r="BJ19" i="19"/>
  <c r="BJ37" i="19"/>
  <c r="AV23" i="19"/>
  <c r="BJ31" i="19"/>
  <c r="BJ50" i="19"/>
  <c r="C50" i="19" s="1" a="1"/>
  <c r="C50" i="19" s="1"/>
  <c r="S50" i="19" s="1"/>
  <c r="AV10" i="19"/>
  <c r="AV19" i="19"/>
  <c r="AV34" i="19"/>
  <c r="BJ28" i="19"/>
  <c r="B28" i="19" s="1" a="1"/>
  <c r="B28" i="19" s="1"/>
  <c r="R28" i="19" s="1"/>
  <c r="BJ38" i="19"/>
  <c r="BJ40" i="19"/>
  <c r="AV9" i="19"/>
  <c r="AV5" i="19"/>
  <c r="BJ4" i="19"/>
  <c r="AV12" i="19"/>
  <c r="BJ15" i="19"/>
  <c r="BJ36" i="19"/>
  <c r="AV39" i="19"/>
  <c r="AV33" i="19"/>
  <c r="BJ24" i="19"/>
  <c r="BJ27" i="19"/>
  <c r="BJ43" i="19"/>
  <c r="D43" i="19" s="1" a="1"/>
  <c r="D43" i="19" s="1"/>
  <c r="T43" i="19" s="1"/>
  <c r="BJ7" i="19"/>
  <c r="BJ42" i="19"/>
  <c r="BJ22" i="19"/>
  <c r="BJ47" i="19"/>
  <c r="F47" i="19" s="1" a="1"/>
  <c r="F47" i="19" s="1"/>
  <c r="V47" i="19" s="1"/>
  <c r="BJ14" i="19"/>
  <c r="AV11" i="19"/>
  <c r="BJ48" i="19"/>
  <c r="D48" i="19" s="1" a="1"/>
  <c r="D48" i="19" s="1"/>
  <c r="T48" i="19" s="1"/>
  <c r="BJ39" i="19"/>
  <c r="AV36" i="19"/>
  <c r="BJ8" i="19"/>
  <c r="BJ23" i="19"/>
  <c r="AV20" i="19"/>
  <c r="BJ30" i="19"/>
  <c r="BJ52" i="19"/>
  <c r="E52" i="19" s="1" a="1"/>
  <c r="E52" i="19" s="1"/>
  <c r="U52" i="19" s="1"/>
  <c r="BJ29" i="19"/>
  <c r="BJ11" i="19"/>
  <c r="AV22" i="19"/>
  <c r="AV8" i="19"/>
  <c r="BJ17" i="19"/>
  <c r="BJ21" i="19"/>
  <c r="AV25" i="19"/>
  <c r="AV26" i="19"/>
  <c r="BJ6" i="19"/>
  <c r="BJ54" i="19"/>
  <c r="C54" i="19" s="1" a="1"/>
  <c r="C54" i="19" s="1"/>
  <c r="S54" i="19" s="1"/>
  <c r="AV7" i="19"/>
  <c r="AV37" i="19"/>
  <c r="BJ53" i="19"/>
  <c r="F53" i="19" s="1" a="1"/>
  <c r="F53" i="19" s="1"/>
  <c r="V53" i="19" s="1"/>
  <c r="BJ9" i="19"/>
  <c r="AV3" i="19"/>
  <c r="AV2" i="19"/>
  <c r="AV31" i="19"/>
  <c r="BJ5" i="19"/>
  <c r="BJ44" i="19"/>
  <c r="B44" i="19" s="1" a="1"/>
  <c r="B44" i="19" s="1"/>
  <c r="R44" i="19" s="1"/>
  <c r="AV27" i="19"/>
  <c r="AV17" i="19"/>
  <c r="BJ26" i="19"/>
  <c r="AV15" i="19"/>
  <c r="AV41" i="19"/>
  <c r="AV40" i="19"/>
  <c r="BJ2" i="19"/>
  <c r="K27" i="5"/>
  <c r="AA58" i="6"/>
  <c r="Z58" i="6"/>
  <c r="AC28" i="6"/>
  <c r="X28" i="6"/>
  <c r="W28" i="6"/>
  <c r="U28" i="6"/>
  <c r="T28" i="6"/>
  <c r="R28" i="6"/>
  <c r="Q28" i="6"/>
  <c r="O28" i="6"/>
  <c r="N28" i="6"/>
  <c r="L28" i="6"/>
  <c r="K28" i="6"/>
  <c r="I28" i="6"/>
  <c r="H28" i="6"/>
  <c r="AD16" i="6"/>
  <c r="Y16" i="6"/>
  <c r="S16" i="6"/>
  <c r="M16" i="6"/>
  <c r="G16" i="6"/>
  <c r="AD7" i="6"/>
  <c r="Y7" i="6"/>
  <c r="S7" i="6"/>
  <c r="M7" i="6"/>
  <c r="G7" i="6"/>
  <c r="AD3" i="6"/>
  <c r="Y3" i="6"/>
  <c r="S3" i="6"/>
  <c r="M3" i="6"/>
  <c r="G3" i="6"/>
  <c r="N61" i="5"/>
  <c r="K61" i="5"/>
  <c r="H61" i="5"/>
  <c r="E61" i="5"/>
  <c r="D61" i="5"/>
  <c r="N60" i="5"/>
  <c r="K60" i="5"/>
  <c r="H60" i="5"/>
  <c r="E60" i="5"/>
  <c r="D60" i="5"/>
  <c r="N59" i="5"/>
  <c r="K59" i="5"/>
  <c r="H59" i="5"/>
  <c r="E59" i="5"/>
  <c r="D59" i="5"/>
  <c r="N58" i="5"/>
  <c r="K58" i="5"/>
  <c r="H58" i="5"/>
  <c r="E58" i="5"/>
  <c r="D58" i="5"/>
  <c r="N57" i="5"/>
  <c r="K57" i="5"/>
  <c r="H57" i="5"/>
  <c r="E57" i="5"/>
  <c r="D57" i="5"/>
  <c r="N56" i="5"/>
  <c r="K56" i="5"/>
  <c r="H56" i="5"/>
  <c r="E56" i="5"/>
  <c r="D56" i="5"/>
  <c r="N55" i="5"/>
  <c r="K55" i="5"/>
  <c r="H55" i="5"/>
  <c r="E55" i="5"/>
  <c r="D55" i="5"/>
  <c r="N54" i="5"/>
  <c r="K54" i="5"/>
  <c r="H54" i="5"/>
  <c r="E54" i="5"/>
  <c r="D54" i="5"/>
  <c r="N53" i="5"/>
  <c r="K53" i="5"/>
  <c r="H53" i="5"/>
  <c r="E53" i="5"/>
  <c r="D53" i="5"/>
  <c r="N52" i="5"/>
  <c r="K52" i="5"/>
  <c r="H52" i="5"/>
  <c r="E52" i="5"/>
  <c r="D52" i="5"/>
  <c r="N51" i="5"/>
  <c r="K51" i="5"/>
  <c r="H51" i="5"/>
  <c r="E51" i="5"/>
  <c r="D51" i="5"/>
  <c r="N50" i="5"/>
  <c r="K50" i="5"/>
  <c r="H50" i="5"/>
  <c r="E50" i="5"/>
  <c r="D50" i="5"/>
  <c r="N49" i="5"/>
  <c r="K49" i="5"/>
  <c r="H49" i="5"/>
  <c r="E49" i="5"/>
  <c r="D49" i="5"/>
  <c r="N48" i="5"/>
  <c r="K48" i="5"/>
  <c r="H48" i="5"/>
  <c r="E48" i="5"/>
  <c r="D48" i="5"/>
  <c r="N17" i="5"/>
  <c r="K17" i="5"/>
  <c r="H17" i="5"/>
  <c r="K8" i="5"/>
  <c r="H8" i="5"/>
  <c r="R62" i="19" l="1"/>
  <c r="V62" i="19"/>
  <c r="O3" i="19"/>
  <c r="O4" i="19" s="1"/>
  <c r="O5" i="19" s="1"/>
  <c r="O6" i="19" s="1"/>
  <c r="O7" i="19" s="1"/>
  <c r="O8" i="19" s="1"/>
  <c r="O9" i="19" s="1"/>
  <c r="O10" i="19" s="1"/>
  <c r="O11" i="19" s="1"/>
  <c r="O12" i="19" s="1"/>
  <c r="O13" i="19" s="1"/>
  <c r="O14" i="19" s="1"/>
  <c r="O15" i="19" s="1"/>
  <c r="O16" i="19" s="1"/>
  <c r="O17" i="19" s="1"/>
  <c r="O18" i="19" s="1"/>
  <c r="O19" i="19" s="1"/>
  <c r="O20" i="19" s="1"/>
  <c r="O21" i="19" s="1"/>
  <c r="O22" i="19" s="1"/>
  <c r="O23" i="19" s="1"/>
  <c r="O24" i="19" s="1"/>
  <c r="O25" i="19" s="1"/>
  <c r="O26" i="19" s="1"/>
  <c r="O27" i="19" s="1"/>
  <c r="O28" i="19" s="1"/>
  <c r="O29" i="19" s="1"/>
  <c r="O30" i="19" s="1"/>
  <c r="O31" i="19" s="1"/>
  <c r="O32" i="19" s="1"/>
  <c r="O33" i="19" s="1"/>
  <c r="O34" i="19" s="1"/>
  <c r="O35" i="19" s="1"/>
  <c r="O36" i="19" s="1"/>
  <c r="O37" i="19" s="1"/>
  <c r="O38" i="19" s="1"/>
  <c r="O39" i="19" s="1"/>
  <c r="O40" i="19" s="1"/>
  <c r="O41" i="19" s="1"/>
  <c r="O42" i="19" s="1"/>
  <c r="O43" i="19" s="1"/>
  <c r="O44" i="19" s="1"/>
  <c r="O45" i="19" s="1"/>
  <c r="O46" i="19" s="1"/>
  <c r="O47" i="19" s="1"/>
  <c r="O48" i="19" s="1"/>
  <c r="O49" i="19" s="1"/>
  <c r="O50" i="19" s="1"/>
  <c r="O51" i="19" s="1"/>
  <c r="O52" i="19" s="1"/>
  <c r="O53" i="19" s="1"/>
  <c r="O54" i="19" s="1"/>
  <c r="O55" i="19" s="1"/>
  <c r="O56" i="19" s="1"/>
  <c r="O57" i="19" s="1"/>
  <c r="O58" i="19" s="1"/>
  <c r="O59" i="19" s="1"/>
  <c r="O60" i="19" s="1"/>
  <c r="O61" i="19" s="1"/>
  <c r="O62" i="19" s="1"/>
  <c r="O63" i="19" s="1"/>
  <c r="T62" i="19"/>
  <c r="U62" i="19"/>
  <c r="S62" i="19"/>
  <c r="D25" i="19" a="1"/>
  <c r="D25" i="19" s="1"/>
  <c r="T25" i="19" s="1"/>
  <c r="D38" i="19" a="1"/>
  <c r="D38" i="19" s="1"/>
  <c r="T38" i="19" s="1"/>
  <c r="F30" i="19" a="1"/>
  <c r="F30" i="19" s="1"/>
  <c r="V30" i="19" s="1"/>
  <c r="B34" i="19" a="1"/>
  <c r="B34" i="19" s="1"/>
  <c r="R34" i="19" s="1"/>
  <c r="D32" i="19" a="1"/>
  <c r="D32" i="19" s="1"/>
  <c r="T32" i="19" s="1"/>
  <c r="C10" i="19" a="1"/>
  <c r="C10" i="19" s="1"/>
  <c r="S10" i="19" s="1"/>
  <c r="C26" i="19" a="1"/>
  <c r="C26" i="19" s="1"/>
  <c r="S26" i="19" s="1"/>
  <c r="E19" i="19" a="1"/>
  <c r="E19" i="19" s="1"/>
  <c r="U19" i="19" s="1"/>
  <c r="B35" i="19" a="1"/>
  <c r="B35" i="19" s="1"/>
  <c r="R35" i="19" s="1"/>
  <c r="B36" i="19" a="1"/>
  <c r="B36" i="19" s="1"/>
  <c r="R36" i="19" s="1"/>
  <c r="B24" i="19" a="1"/>
  <c r="B24" i="19" s="1"/>
  <c r="R24" i="19" s="1"/>
  <c r="C39" i="19" a="1"/>
  <c r="C39" i="19" s="1"/>
  <c r="S39" i="19" s="1"/>
  <c r="D46" i="19" a="1"/>
  <c r="D46" i="19" s="1"/>
  <c r="T46" i="19" s="1"/>
  <c r="C46" i="19" a="1"/>
  <c r="C46" i="19" s="1"/>
  <c r="S46" i="19" s="1"/>
  <c r="B41" i="19" a="1"/>
  <c r="B41" i="19" s="1"/>
  <c r="R41" i="19" s="1"/>
  <c r="F9" i="19" a="1"/>
  <c r="F9" i="19" s="1"/>
  <c r="V9" i="19" s="1"/>
  <c r="B46" i="19" a="1"/>
  <c r="B46" i="19" s="1"/>
  <c r="R46" i="19" s="1"/>
  <c r="B7" i="19" a="1"/>
  <c r="B7" i="19" s="1"/>
  <c r="R7" i="19" s="1"/>
  <c r="F15" i="19" a="1"/>
  <c r="F15" i="19" s="1"/>
  <c r="V15" i="19" s="1"/>
  <c r="B30" i="19" a="1"/>
  <c r="B30" i="19" s="1"/>
  <c r="R30" i="19" s="1"/>
  <c r="F46" i="19" a="1"/>
  <c r="F46" i="19" s="1"/>
  <c r="V46" i="19" s="1"/>
  <c r="C42" i="19" a="1"/>
  <c r="C42" i="19" s="1"/>
  <c r="S42" i="19" s="1"/>
  <c r="D29" i="19" a="1"/>
  <c r="D29" i="19" s="1"/>
  <c r="T29" i="19" s="1"/>
  <c r="C9" i="19" a="1"/>
  <c r="C9" i="19" s="1"/>
  <c r="S9" i="19" s="1"/>
  <c r="B2" i="19" a="1"/>
  <c r="B2" i="19" s="1"/>
  <c r="F20" i="19" a="1"/>
  <c r="F20" i="19" s="1"/>
  <c r="V20" i="19" s="1"/>
  <c r="E42" i="19" a="1"/>
  <c r="E42" i="19" s="1"/>
  <c r="U42" i="19" s="1"/>
  <c r="D30" i="19" a="1"/>
  <c r="D30" i="19" s="1"/>
  <c r="T30" i="19" s="1"/>
  <c r="E30" i="19" a="1"/>
  <c r="E30" i="19" s="1"/>
  <c r="U30" i="19" s="1"/>
  <c r="F33" i="19" a="1"/>
  <c r="F33" i="19" s="1"/>
  <c r="V33" i="19" s="1"/>
  <c r="E16" i="19" a="1"/>
  <c r="E16" i="19" s="1"/>
  <c r="U16" i="19" s="1"/>
  <c r="D14" i="19" a="1"/>
  <c r="D14" i="19" s="1"/>
  <c r="T14" i="19" s="1"/>
  <c r="D53" i="19" a="1"/>
  <c r="D53" i="19" s="1"/>
  <c r="T53" i="19" s="1"/>
  <c r="D31" i="19" a="1"/>
  <c r="D31" i="19" s="1"/>
  <c r="T31" i="19" s="1"/>
  <c r="C30" i="19" a="1"/>
  <c r="C30" i="19" s="1"/>
  <c r="S30" i="19" s="1"/>
  <c r="E7" i="19" a="1"/>
  <c r="E7" i="19" s="1"/>
  <c r="U7" i="19" s="1"/>
  <c r="F7" i="19" a="1"/>
  <c r="F7" i="19" s="1"/>
  <c r="V7" i="19" s="1"/>
  <c r="D3" i="19" a="1"/>
  <c r="D3" i="19" s="1"/>
  <c r="T3" i="19" s="1"/>
  <c r="B22" i="19" a="1"/>
  <c r="B22" i="19" s="1"/>
  <c r="R22" i="19" s="1"/>
  <c r="F12" i="19" a="1"/>
  <c r="F12" i="19" s="1"/>
  <c r="V12" i="19" s="1"/>
  <c r="E23" i="19" a="1"/>
  <c r="E23" i="19" s="1"/>
  <c r="U23" i="19" s="1"/>
  <c r="E18" i="19" a="1"/>
  <c r="E18" i="19" s="1"/>
  <c r="U18" i="19" s="1"/>
  <c r="F41" i="19" a="1"/>
  <c r="F41" i="19" s="1"/>
  <c r="V41" i="19" s="1"/>
  <c r="E27" i="19" a="1"/>
  <c r="E27" i="19" s="1"/>
  <c r="U27" i="19" s="1"/>
  <c r="D41" i="19" a="1"/>
  <c r="D41" i="19" s="1"/>
  <c r="T41" i="19" s="1"/>
  <c r="C29" i="19" a="1"/>
  <c r="C29" i="19" s="1"/>
  <c r="S29" i="19" s="1"/>
  <c r="D13" i="19" a="1"/>
  <c r="D13" i="19" s="1"/>
  <c r="T13" i="19" s="1"/>
  <c r="E44" i="19" a="1"/>
  <c r="E44" i="19" s="1"/>
  <c r="U44" i="19" s="1"/>
  <c r="D42" i="19" a="1"/>
  <c r="D42" i="19" s="1"/>
  <c r="T42" i="19" s="1"/>
  <c r="C43" i="19" a="1"/>
  <c r="C43" i="19" s="1"/>
  <c r="S43" i="19" s="1"/>
  <c r="AW6" i="19"/>
  <c r="B6" i="19" s="1" a="1"/>
  <c r="B6" i="19" s="1"/>
  <c r="R6" i="19" s="1"/>
  <c r="B42" i="19" a="1"/>
  <c r="B42" i="19" s="1"/>
  <c r="R42" i="19" s="1"/>
  <c r="E54" i="19" a="1"/>
  <c r="E54" i="19" s="1"/>
  <c r="AW4" i="19"/>
  <c r="D4" i="19" s="1" a="1"/>
  <c r="D4" i="19" s="1"/>
  <c r="T4" i="19" s="1"/>
  <c r="C51" i="19" a="1"/>
  <c r="C51" i="19" s="1"/>
  <c r="S51" i="19" s="1"/>
  <c r="C38" i="19" a="1"/>
  <c r="C38" i="19" s="1"/>
  <c r="S38" i="19" s="1"/>
  <c r="E24" i="19" a="1"/>
  <c r="E24" i="19" s="1"/>
  <c r="U24" i="19" s="1"/>
  <c r="B38" i="19" a="1"/>
  <c r="B38" i="19" s="1"/>
  <c r="R38" i="19" s="1"/>
  <c r="F51" i="19" a="1"/>
  <c r="F51" i="19" s="1"/>
  <c r="V51" i="19" s="1"/>
  <c r="C48" i="19" a="1"/>
  <c r="C48" i="19" s="1"/>
  <c r="S48" i="19" s="1"/>
  <c r="F2" i="19" a="1"/>
  <c r="F2" i="19" s="1"/>
  <c r="E8" i="19" a="1"/>
  <c r="E8" i="19" s="1"/>
  <c r="U8" i="19" s="1"/>
  <c r="D11" i="19" a="1"/>
  <c r="D11" i="19" s="1"/>
  <c r="T11" i="19" s="1"/>
  <c r="E15" i="19" a="1"/>
  <c r="E15" i="19" s="1"/>
  <c r="U15" i="19" s="1"/>
  <c r="F38" i="19" a="1"/>
  <c r="F38" i="19" s="1"/>
  <c r="V38" i="19" s="1"/>
  <c r="D26" i="19" a="1"/>
  <c r="D26" i="19" s="1"/>
  <c r="T26" i="19" s="1"/>
  <c r="F44" i="19" a="1"/>
  <c r="F44" i="19" s="1"/>
  <c r="V44" i="19" s="1"/>
  <c r="E39" i="19" a="1"/>
  <c r="E39" i="19" s="1"/>
  <c r="U39" i="19" s="1"/>
  <c r="B29" i="19" a="1"/>
  <c r="B29" i="19" s="1"/>
  <c r="R29" i="19" s="1"/>
  <c r="C7" i="19" a="1"/>
  <c r="C7" i="19" s="1"/>
  <c r="S7" i="19" s="1"/>
  <c r="F40" i="19" a="1"/>
  <c r="F40" i="19" s="1"/>
  <c r="V40" i="19" s="1"/>
  <c r="C5" i="19" a="1"/>
  <c r="C5" i="19" s="1"/>
  <c r="S5" i="19" s="1"/>
  <c r="D21" i="19" a="1"/>
  <c r="D21" i="19" s="1"/>
  <c r="T21" i="19" s="1"/>
  <c r="F42" i="19" a="1"/>
  <c r="F42" i="19" s="1"/>
  <c r="V42" i="19" s="1"/>
  <c r="D44" i="19" a="1"/>
  <c r="D44" i="19" s="1"/>
  <c r="T44" i="19" s="1"/>
  <c r="E49" i="19" a="1"/>
  <c r="E49" i="19" s="1"/>
  <c r="U49" i="19" s="1"/>
  <c r="AW17" i="19"/>
  <c r="F17" i="19" s="1" a="1"/>
  <c r="F17" i="19" s="1"/>
  <c r="V17" i="19" s="1"/>
  <c r="C37" i="19" a="1"/>
  <c r="C37" i="19" s="1"/>
  <c r="S37" i="19" s="1"/>
  <c r="B9" i="19" a="1"/>
  <c r="B9" i="19" s="1"/>
  <c r="R9" i="19" s="1"/>
  <c r="B16" i="19" a="1"/>
  <c r="B16" i="19" s="1"/>
  <c r="R16" i="19" s="1"/>
  <c r="D49" i="19" a="1"/>
  <c r="D49" i="19" s="1"/>
  <c r="T49" i="19" s="1"/>
  <c r="B13" i="19" a="1"/>
  <c r="B13" i="19" s="1"/>
  <c r="R13" i="19" s="1"/>
  <c r="B15" i="19" a="1"/>
  <c r="B15" i="19" s="1"/>
  <c r="R15" i="19" s="1"/>
  <c r="F35" i="19" a="1"/>
  <c r="F35" i="19" s="1"/>
  <c r="V35" i="19" s="1"/>
  <c r="B37" i="19" a="1"/>
  <c r="B37" i="19" s="1"/>
  <c r="R37" i="19" s="1"/>
  <c r="C41" i="19" a="1"/>
  <c r="C41" i="19" s="1"/>
  <c r="S41" i="19" s="1"/>
  <c r="C2" i="19" a="1"/>
  <c r="C2" i="19" s="1"/>
  <c r="E38" i="19" a="1"/>
  <c r="E38" i="19" s="1"/>
  <c r="U38" i="19" s="1"/>
  <c r="E53" i="19" a="1"/>
  <c r="E53" i="19" s="1"/>
  <c r="U53" i="19" s="1"/>
  <c r="B51" i="19" a="1"/>
  <c r="B51" i="19" s="1"/>
  <c r="R51" i="19" s="1"/>
  <c r="C44" i="19" a="1"/>
  <c r="C44" i="19" s="1"/>
  <c r="S44" i="19" s="1"/>
  <c r="F14" i="19" a="1"/>
  <c r="F14" i="19" s="1"/>
  <c r="V14" i="19" s="1"/>
  <c r="D16" i="19" a="1"/>
  <c r="D16" i="19" s="1"/>
  <c r="T16" i="19" s="1"/>
  <c r="F8" i="19" a="1"/>
  <c r="F8" i="19" s="1"/>
  <c r="V8" i="19" s="1"/>
  <c r="C49" i="19" a="1"/>
  <c r="C49" i="19" s="1"/>
  <c r="S49" i="19" s="1"/>
  <c r="F54" i="19" a="1"/>
  <c r="F54" i="19" s="1"/>
  <c r="F28" i="19" a="1"/>
  <c r="F28" i="19" s="1"/>
  <c r="V28" i="19" s="1"/>
  <c r="B12" i="19" a="1"/>
  <c r="B12" i="19" s="1"/>
  <c r="R12" i="19" s="1"/>
  <c r="D45" i="19" a="1"/>
  <c r="D45" i="19" s="1"/>
  <c r="T45" i="19" s="1"/>
  <c r="F23" i="19" a="1"/>
  <c r="F23" i="19" s="1"/>
  <c r="V23" i="19" s="1"/>
  <c r="E9" i="19" a="1"/>
  <c r="E9" i="19" s="1"/>
  <c r="U9" i="19" s="1"/>
  <c r="C15" i="19" a="1"/>
  <c r="C15" i="19" s="1"/>
  <c r="S15" i="19" s="1"/>
  <c r="D7" i="19" a="1"/>
  <c r="D7" i="19" s="1"/>
  <c r="T7" i="19" s="1"/>
  <c r="B8" i="19" a="1"/>
  <c r="B8" i="19" s="1"/>
  <c r="R8" i="19" s="1"/>
  <c r="D23" i="19" a="1"/>
  <c r="D23" i="19" s="1"/>
  <c r="T23" i="19" s="1"/>
  <c r="D15" i="19" a="1"/>
  <c r="D15" i="19" s="1"/>
  <c r="T15" i="19" s="1"/>
  <c r="B11" i="19" a="1"/>
  <c r="B11" i="19" s="1"/>
  <c r="R11" i="19" s="1"/>
  <c r="E35" i="19" a="1"/>
  <c r="E35" i="19" s="1"/>
  <c r="U35" i="19" s="1"/>
  <c r="F37" i="19" a="1"/>
  <c r="F37" i="19" s="1"/>
  <c r="V37" i="19" s="1"/>
  <c r="E41" i="19" a="1"/>
  <c r="E41" i="19" s="1"/>
  <c r="U41" i="19" s="1"/>
  <c r="E2" i="19" a="1"/>
  <c r="E2" i="19" s="1"/>
  <c r="C53" i="19" a="1"/>
  <c r="C53" i="19" s="1"/>
  <c r="E51" i="19" a="1"/>
  <c r="E51" i="19" s="1"/>
  <c r="U51" i="19" s="1"/>
  <c r="F19" i="19" a="1"/>
  <c r="F19" i="19" s="1"/>
  <c r="V19" i="19" s="1"/>
  <c r="E14" i="19" a="1"/>
  <c r="E14" i="19" s="1"/>
  <c r="U14" i="19" s="1"/>
  <c r="D8" i="19" a="1"/>
  <c r="D8" i="19" s="1"/>
  <c r="T8" i="19" s="1"/>
  <c r="B49" i="19" a="1"/>
  <c r="B49" i="19" s="1"/>
  <c r="R49" i="19" s="1"/>
  <c r="D54" i="19" a="1"/>
  <c r="D54" i="19" s="1"/>
  <c r="E28" i="19" a="1"/>
  <c r="E28" i="19" s="1"/>
  <c r="U28" i="19" s="1"/>
  <c r="C12" i="19" a="1"/>
  <c r="C12" i="19" s="1"/>
  <c r="S12" i="19" s="1"/>
  <c r="F10" i="19" a="1"/>
  <c r="F10" i="19" s="1"/>
  <c r="V10" i="19" s="1"/>
  <c r="E11" i="19" a="1"/>
  <c r="E11" i="19" s="1"/>
  <c r="U11" i="19" s="1"/>
  <c r="F36" i="19" a="1"/>
  <c r="F36" i="19" s="1"/>
  <c r="V36" i="19" s="1"/>
  <c r="B45" i="19" a="1"/>
  <c r="B45" i="19" s="1"/>
  <c r="R45" i="19" s="1"/>
  <c r="E34" i="19" a="1"/>
  <c r="E34" i="19" s="1"/>
  <c r="U34" i="19" s="1"/>
  <c r="C8" i="19" a="1"/>
  <c r="C8" i="19" s="1"/>
  <c r="S8" i="19" s="1"/>
  <c r="E47" i="19" a="1"/>
  <c r="E47" i="19" s="1"/>
  <c r="U47" i="19" s="1"/>
  <c r="D35" i="19" a="1"/>
  <c r="D35" i="19" s="1"/>
  <c r="T35" i="19" s="1"/>
  <c r="E37" i="19" a="1"/>
  <c r="E37" i="19" s="1"/>
  <c r="U37" i="19" s="1"/>
  <c r="D33" i="19" a="1"/>
  <c r="D33" i="19" s="1"/>
  <c r="T33" i="19" s="1"/>
  <c r="D20" i="19" a="1"/>
  <c r="D20" i="19" s="1"/>
  <c r="T20" i="19" s="1"/>
  <c r="B53" i="19" a="1"/>
  <c r="B53" i="19" s="1"/>
  <c r="R53" i="19" s="1"/>
  <c r="D19" i="19" a="1"/>
  <c r="D19" i="19" s="1"/>
  <c r="T19" i="19" s="1"/>
  <c r="C14" i="19" a="1"/>
  <c r="C14" i="19" s="1"/>
  <c r="S14" i="19" s="1"/>
  <c r="F16" i="19" a="1"/>
  <c r="F16" i="19" s="1"/>
  <c r="V16" i="19" s="1"/>
  <c r="B54" i="19" a="1"/>
  <c r="B54" i="19" s="1"/>
  <c r="C52" i="19" a="1"/>
  <c r="C52" i="19" s="1"/>
  <c r="S52" i="19" s="1"/>
  <c r="D28" i="19" a="1"/>
  <c r="D28" i="19" s="1"/>
  <c r="T28" i="19" s="1"/>
  <c r="D12" i="19" a="1"/>
  <c r="D12" i="19" s="1"/>
  <c r="T12" i="19" s="1"/>
  <c r="E10" i="19" a="1"/>
  <c r="E10" i="19" s="1"/>
  <c r="U10" i="19" s="1"/>
  <c r="B50" i="19" a="1"/>
  <c r="B50" i="19" s="1"/>
  <c r="R50" i="19" s="1"/>
  <c r="E36" i="19" a="1"/>
  <c r="E36" i="19" s="1"/>
  <c r="U36" i="19" s="1"/>
  <c r="F45" i="19" a="1"/>
  <c r="F45" i="19" s="1"/>
  <c r="V45" i="19" s="1"/>
  <c r="C3" i="19" a="1"/>
  <c r="C3" i="19" s="1"/>
  <c r="S3" i="19" s="1"/>
  <c r="E40" i="19" a="1"/>
  <c r="E40" i="19" s="1"/>
  <c r="U40" i="19" s="1"/>
  <c r="F34" i="19" a="1"/>
  <c r="F34" i="19" s="1"/>
  <c r="V34" i="19" s="1"/>
  <c r="D47" i="19" a="1"/>
  <c r="D47" i="19" s="1"/>
  <c r="T47" i="19" s="1"/>
  <c r="C35" i="19" a="1"/>
  <c r="C35" i="19" s="1"/>
  <c r="S35" i="19" s="1"/>
  <c r="D37" i="19" a="1"/>
  <c r="D37" i="19" s="1"/>
  <c r="T37" i="19" s="1"/>
  <c r="F3" i="19" a="1"/>
  <c r="F3" i="19" s="1"/>
  <c r="V3" i="19" s="1"/>
  <c r="E33" i="19" a="1"/>
  <c r="E33" i="19" s="1"/>
  <c r="U33" i="19" s="1"/>
  <c r="E20" i="19" a="1"/>
  <c r="E20" i="19" s="1"/>
  <c r="U20" i="19" s="1"/>
  <c r="B5" i="19" a="1"/>
  <c r="B5" i="19" s="1"/>
  <c r="R5" i="19" s="1"/>
  <c r="C19" i="19" a="1"/>
  <c r="C19" i="19" s="1"/>
  <c r="S19" i="19" s="1"/>
  <c r="C21" i="19" a="1"/>
  <c r="C21" i="19" s="1"/>
  <c r="S21" i="19" s="1"/>
  <c r="B14" i="19" a="1"/>
  <c r="B14" i="19" s="1"/>
  <c r="R14" i="19" s="1"/>
  <c r="C16" i="19" a="1"/>
  <c r="C16" i="19" s="1"/>
  <c r="S16" i="19" s="1"/>
  <c r="F18" i="19" a="1"/>
  <c r="F18" i="19" s="1"/>
  <c r="V18" i="19" s="1"/>
  <c r="D52" i="19" a="1"/>
  <c r="D52" i="19" s="1"/>
  <c r="T52" i="19" s="1"/>
  <c r="C28" i="19" a="1"/>
  <c r="C28" i="19" s="1"/>
  <c r="S28" i="19" s="1"/>
  <c r="D10" i="19" a="1"/>
  <c r="D10" i="19" s="1"/>
  <c r="T10" i="19" s="1"/>
  <c r="E50" i="19" a="1"/>
  <c r="E50" i="19" s="1"/>
  <c r="U50" i="19" s="1"/>
  <c r="D36" i="19" a="1"/>
  <c r="D36" i="19" s="1"/>
  <c r="T36" i="19" s="1"/>
  <c r="C45" i="19" a="1"/>
  <c r="C45" i="19" s="1"/>
  <c r="S45" i="19" s="1"/>
  <c r="D40" i="19" a="1"/>
  <c r="D40" i="19" s="1"/>
  <c r="T40" i="19" s="1"/>
  <c r="D34" i="19" a="1"/>
  <c r="D34" i="19" s="1"/>
  <c r="T34" i="19" s="1"/>
  <c r="C31" i="19" a="1"/>
  <c r="C31" i="19" s="1"/>
  <c r="S31" i="19" s="1"/>
  <c r="E12" i="19" a="1"/>
  <c r="E12" i="19" s="1"/>
  <c r="U12" i="19" s="1"/>
  <c r="B23" i="19" a="1"/>
  <c r="B23" i="19" s="1"/>
  <c r="R23" i="19" s="1"/>
  <c r="C47" i="19" a="1"/>
  <c r="C47" i="19" s="1"/>
  <c r="S47" i="19" s="1"/>
  <c r="C22" i="19" a="1"/>
  <c r="C22" i="19" s="1"/>
  <c r="S22" i="19" s="1"/>
  <c r="C33" i="19" a="1"/>
  <c r="C33" i="19" s="1"/>
  <c r="S33" i="19" s="1"/>
  <c r="C20" i="19" a="1"/>
  <c r="C20" i="19" s="1"/>
  <c r="S20" i="19" s="1"/>
  <c r="F5" i="19" a="1"/>
  <c r="F5" i="19" s="1"/>
  <c r="V5" i="19" s="1"/>
  <c r="F21" i="19" a="1"/>
  <c r="F21" i="19" s="1"/>
  <c r="V21" i="19" s="1"/>
  <c r="D18" i="19" a="1"/>
  <c r="D18" i="19" s="1"/>
  <c r="T18" i="19" s="1"/>
  <c r="C32" i="19" a="1"/>
  <c r="C32" i="19" s="1"/>
  <c r="S32" i="19" s="1"/>
  <c r="B52" i="19" a="1"/>
  <c r="B52" i="19" s="1"/>
  <c r="R52" i="19" s="1"/>
  <c r="E25" i="19" a="1"/>
  <c r="E25" i="19" s="1"/>
  <c r="U25" i="19" s="1"/>
  <c r="F50" i="19" a="1"/>
  <c r="F50" i="19" s="1"/>
  <c r="V50" i="19" s="1"/>
  <c r="C36" i="19" a="1"/>
  <c r="C36" i="19" s="1"/>
  <c r="S36" i="19" s="1"/>
  <c r="C40" i="19" a="1"/>
  <c r="C40" i="19" s="1"/>
  <c r="S40" i="19" s="1"/>
  <c r="C34" i="19" a="1"/>
  <c r="C34" i="19" s="1"/>
  <c r="S34" i="19" s="1"/>
  <c r="F31" i="19" a="1"/>
  <c r="F31" i="19" s="1"/>
  <c r="V31" i="19" s="1"/>
  <c r="B47" i="19" a="1"/>
  <c r="B47" i="19" s="1"/>
  <c r="R47" i="19" s="1"/>
  <c r="B19" i="19" a="1"/>
  <c r="B19" i="19" s="1"/>
  <c r="R19" i="19" s="1"/>
  <c r="D22" i="19" a="1"/>
  <c r="D22" i="19" s="1"/>
  <c r="T22" i="19" s="1"/>
  <c r="B33" i="19" a="1"/>
  <c r="B33" i="19" s="1"/>
  <c r="R33" i="19" s="1"/>
  <c r="B20" i="19" a="1"/>
  <c r="B20" i="19" s="1"/>
  <c r="R20" i="19" s="1"/>
  <c r="E5" i="19" a="1"/>
  <c r="E5" i="19" s="1"/>
  <c r="U5" i="19" s="1"/>
  <c r="B43" i="19" a="1"/>
  <c r="B43" i="19" s="1"/>
  <c r="R43" i="19" s="1"/>
  <c r="E21" i="19" a="1"/>
  <c r="E21" i="19" s="1"/>
  <c r="U21" i="19" s="1"/>
  <c r="C11" i="19" a="1"/>
  <c r="C11" i="19" s="1"/>
  <c r="S11" i="19" s="1"/>
  <c r="C18" i="19" a="1"/>
  <c r="C18" i="19" s="1"/>
  <c r="S18" i="19" s="1"/>
  <c r="B32" i="19" a="1"/>
  <c r="B32" i="19" s="1"/>
  <c r="R32" i="19" s="1"/>
  <c r="F52" i="19" a="1"/>
  <c r="F52" i="19" s="1"/>
  <c r="V52" i="19" s="1"/>
  <c r="D27" i="19" a="1"/>
  <c r="D27" i="19" s="1"/>
  <c r="T27" i="19" s="1"/>
  <c r="B21" i="19" a="1"/>
  <c r="B21" i="19" s="1"/>
  <c r="R21" i="19" s="1"/>
  <c r="B10" i="19" a="1"/>
  <c r="B10" i="19" s="1"/>
  <c r="R10" i="19" s="1"/>
  <c r="D50" i="19" a="1"/>
  <c r="D50" i="19" s="1"/>
  <c r="T50" i="19" s="1"/>
  <c r="F25" i="19" a="1"/>
  <c r="F25" i="19" s="1"/>
  <c r="V25" i="19" s="1"/>
  <c r="B40" i="19" a="1"/>
  <c r="B40" i="19" s="1"/>
  <c r="R40" i="19" s="1"/>
  <c r="B31" i="19" a="1"/>
  <c r="B31" i="19" s="1"/>
  <c r="R31" i="19" s="1"/>
  <c r="D2" i="19" a="1"/>
  <c r="D2" i="19" s="1"/>
  <c r="B48" i="19" a="1"/>
  <c r="B48" i="19" s="1"/>
  <c r="R48" i="19" s="1"/>
  <c r="F22" i="19" a="1"/>
  <c r="F22" i="19" s="1"/>
  <c r="V22" i="19" s="1"/>
  <c r="D5" i="19" a="1"/>
  <c r="D5" i="19" s="1"/>
  <c r="T5" i="19" s="1"/>
  <c r="F43" i="19" a="1"/>
  <c r="F43" i="19" s="1"/>
  <c r="V43" i="19" s="1"/>
  <c r="D39" i="19" a="1"/>
  <c r="D39" i="19" s="1"/>
  <c r="T39" i="19" s="1"/>
  <c r="B18" i="19" a="1"/>
  <c r="B18" i="19" s="1"/>
  <c r="R18" i="19" s="1"/>
  <c r="F32" i="19" a="1"/>
  <c r="F32" i="19" s="1"/>
  <c r="V32" i="19" s="1"/>
  <c r="C27" i="19" a="1"/>
  <c r="C27" i="19" s="1"/>
  <c r="S27" i="19" s="1"/>
  <c r="B26" i="19" a="1"/>
  <c r="B26" i="19" s="1"/>
  <c r="R26" i="19" s="1"/>
  <c r="C13" i="19" a="1"/>
  <c r="C13" i="19" s="1"/>
  <c r="S13" i="19" s="1"/>
  <c r="C25" i="19" a="1"/>
  <c r="C25" i="19" s="1"/>
  <c r="S25" i="19" s="1"/>
  <c r="B3" i="19" a="1"/>
  <c r="B3" i="19" s="1"/>
  <c r="R3" i="19" s="1"/>
  <c r="E31" i="19" a="1"/>
  <c r="E31" i="19" s="1"/>
  <c r="U31" i="19" s="1"/>
  <c r="E22" i="19" a="1"/>
  <c r="E22" i="19" s="1"/>
  <c r="U22" i="19" s="1"/>
  <c r="E43" i="19" a="1"/>
  <c r="E43" i="19" s="1"/>
  <c r="U43" i="19" s="1"/>
  <c r="F48" i="19" a="1"/>
  <c r="F48" i="19" s="1"/>
  <c r="V48" i="19" s="1"/>
  <c r="B39" i="19" a="1"/>
  <c r="B39" i="19" s="1"/>
  <c r="R39" i="19" s="1"/>
  <c r="F24" i="19" a="1"/>
  <c r="F24" i="19" s="1"/>
  <c r="V24" i="19" s="1"/>
  <c r="E32" i="19" a="1"/>
  <c r="E32" i="19" s="1"/>
  <c r="U32" i="19" s="1"/>
  <c r="F29" i="19" a="1"/>
  <c r="F29" i="19" s="1"/>
  <c r="V29" i="19" s="1"/>
  <c r="B27" i="19" a="1"/>
  <c r="B27" i="19" s="1"/>
  <c r="R27" i="19" s="1"/>
  <c r="F26" i="19" a="1"/>
  <c r="F26" i="19" s="1"/>
  <c r="V26" i="19" s="1"/>
  <c r="E13" i="19" a="1"/>
  <c r="E13" i="19" s="1"/>
  <c r="U13" i="19" s="1"/>
  <c r="B25" i="19" a="1"/>
  <c r="B25" i="19" s="1"/>
  <c r="R25" i="19" s="1"/>
  <c r="D24" i="19" a="1"/>
  <c r="D24" i="19" s="1"/>
  <c r="T24" i="19" s="1"/>
  <c r="E3" i="19" a="1"/>
  <c r="E3" i="19" s="1"/>
  <c r="U3" i="19" s="1"/>
  <c r="C23" i="19" a="1"/>
  <c r="C23" i="19" s="1"/>
  <c r="S23" i="19" s="1"/>
  <c r="E48" i="19" a="1"/>
  <c r="E48" i="19" s="1"/>
  <c r="U48" i="19" s="1"/>
  <c r="F39" i="19" a="1"/>
  <c r="F39" i="19" s="1"/>
  <c r="V39" i="19" s="1"/>
  <c r="C24" i="19" a="1"/>
  <c r="C24" i="19" s="1"/>
  <c r="S24" i="19" s="1"/>
  <c r="E29" i="19" a="1"/>
  <c r="E29" i="19" s="1"/>
  <c r="U29" i="19" s="1"/>
  <c r="F27" i="19" a="1"/>
  <c r="F27" i="19" s="1"/>
  <c r="V27" i="19" s="1"/>
  <c r="E26" i="19" a="1"/>
  <c r="E26" i="19" s="1"/>
  <c r="U26" i="19" s="1"/>
  <c r="F13" i="19" a="1"/>
  <c r="F13" i="19" s="1"/>
  <c r="V13" i="19" s="1"/>
  <c r="D9" i="19" a="1"/>
  <c r="D9" i="19" s="1"/>
  <c r="T9" i="19" s="1"/>
  <c r="F11" i="19" a="1"/>
  <c r="F11" i="19" s="1"/>
  <c r="V11" i="19" s="1"/>
  <c r="K37" i="5"/>
  <c r="H37" i="5"/>
  <c r="N37" i="5"/>
  <c r="S28" i="6"/>
  <c r="Y28" i="6"/>
  <c r="G28" i="6"/>
  <c r="AD28" i="6"/>
  <c r="M28" i="6"/>
  <c r="Y53" i="19" a="1"/>
  <c r="AC49" i="19" a="1"/>
  <c r="AC44" i="19" a="1"/>
  <c r="AC53" i="19" a="1"/>
  <c r="AB53" i="19" a="1"/>
  <c r="AC42" i="19" a="1"/>
  <c r="AC45" i="19" a="1"/>
  <c r="AC43" i="19" a="1"/>
  <c r="AC51" i="19" a="1"/>
  <c r="AC50" i="19" a="1"/>
  <c r="AC47" i="19" a="1"/>
  <c r="AA53" i="19" a="1"/>
  <c r="AC46" i="19" a="1"/>
  <c r="AC52" i="19" a="1"/>
  <c r="AC48" i="19" a="1"/>
  <c r="V54" i="19" l="1"/>
  <c r="AJ59" i="19" s="1"/>
  <c r="T54" i="19"/>
  <c r="AH58" i="19" s="1"/>
  <c r="U54" i="19"/>
  <c r="AI57" i="19" s="1"/>
  <c r="R54" i="19"/>
  <c r="AF61" i="19" s="1"/>
  <c r="S53" i="19"/>
  <c r="AG59" i="19" s="1"/>
  <c r="Y53" i="19"/>
  <c r="AC48" i="19"/>
  <c r="AC49" i="19"/>
  <c r="AA53" i="19"/>
  <c r="AC42" i="19"/>
  <c r="AB53" i="19"/>
  <c r="AC46" i="19"/>
  <c r="AC47" i="19"/>
  <c r="AC45" i="19"/>
  <c r="AC44" i="19"/>
  <c r="AC43" i="19"/>
  <c r="AC52" i="19"/>
  <c r="AC53" i="19"/>
  <c r="AC50" i="19"/>
  <c r="AC51" i="19"/>
  <c r="AF32" i="19"/>
  <c r="AF29" i="19"/>
  <c r="AJ38" i="19"/>
  <c r="AF30" i="19"/>
  <c r="AJ40" i="19"/>
  <c r="AG38" i="19"/>
  <c r="AF44" i="19"/>
  <c r="AI40" i="19"/>
  <c r="AI43" i="19"/>
  <c r="AJ43" i="19"/>
  <c r="AH33" i="19"/>
  <c r="AH47" i="19"/>
  <c r="AH36" i="19"/>
  <c r="AI44" i="19"/>
  <c r="AH29" i="19"/>
  <c r="AI31" i="19"/>
  <c r="AH46" i="19"/>
  <c r="AJ25" i="19"/>
  <c r="AF40" i="19"/>
  <c r="AF49" i="19"/>
  <c r="AG40" i="19"/>
  <c r="AJ18" i="19"/>
  <c r="AG49" i="19"/>
  <c r="AF35" i="19"/>
  <c r="AJ32" i="19"/>
  <c r="AH40" i="19"/>
  <c r="AJ50" i="19"/>
  <c r="AF50" i="19"/>
  <c r="AH50" i="19"/>
  <c r="AH38" i="19"/>
  <c r="AG31" i="19"/>
  <c r="AH48" i="19"/>
  <c r="AI45" i="19"/>
  <c r="AG48" i="19"/>
  <c r="AH42" i="19"/>
  <c r="AF47" i="19"/>
  <c r="AG50" i="19"/>
  <c r="AI50" i="19"/>
  <c r="AG44" i="19"/>
  <c r="AI49" i="19"/>
  <c r="AI38" i="19"/>
  <c r="AF41" i="19"/>
  <c r="AI30" i="19"/>
  <c r="AF46" i="19"/>
  <c r="AJ29" i="19"/>
  <c r="AG37" i="19"/>
  <c r="AJ35" i="19"/>
  <c r="AJ42" i="19"/>
  <c r="AJ34" i="19"/>
  <c r="AF43" i="19"/>
  <c r="AG29" i="19"/>
  <c r="AJ26" i="19"/>
  <c r="AH35" i="19"/>
  <c r="AI42" i="19"/>
  <c r="AG47" i="19"/>
  <c r="AF34" i="19"/>
  <c r="AI51" i="19"/>
  <c r="AH30" i="19"/>
  <c r="AJ21" i="19"/>
  <c r="AJ48" i="19"/>
  <c r="AJ39" i="19"/>
  <c r="AF48" i="19"/>
  <c r="AJ53" i="19"/>
  <c r="AI29" i="19"/>
  <c r="AJ44" i="19"/>
  <c r="AI35" i="19"/>
  <c r="AH39" i="19"/>
  <c r="AG41" i="19"/>
  <c r="AG39" i="19"/>
  <c r="AH52" i="19"/>
  <c r="AJ47" i="19"/>
  <c r="AJ33" i="19"/>
  <c r="AJ45" i="19"/>
  <c r="AG52" i="19"/>
  <c r="AI32" i="19"/>
  <c r="AI46" i="19"/>
  <c r="AJ46" i="19"/>
  <c r="AH32" i="19"/>
  <c r="AI34" i="19"/>
  <c r="AI41" i="19"/>
  <c r="AH43" i="19"/>
  <c r="AJ30" i="19"/>
  <c r="AG33" i="19"/>
  <c r="AJ49" i="19"/>
  <c r="AJ52" i="19"/>
  <c r="AF36" i="19"/>
  <c r="AG36" i="19"/>
  <c r="AF42" i="19"/>
  <c r="AI36" i="19"/>
  <c r="AG42" i="19"/>
  <c r="AG32" i="19"/>
  <c r="AH31" i="19"/>
  <c r="AI39" i="19"/>
  <c r="AH53" i="19"/>
  <c r="AJ23" i="19"/>
  <c r="AH41" i="19"/>
  <c r="AJ20" i="19"/>
  <c r="AF45" i="19"/>
  <c r="AJ28" i="19"/>
  <c r="AG34" i="19"/>
  <c r="AJ27" i="19"/>
  <c r="AG51" i="19"/>
  <c r="AI52" i="19"/>
  <c r="AF53" i="19"/>
  <c r="AJ22" i="19"/>
  <c r="AJ24" i="19"/>
  <c r="AJ37" i="19"/>
  <c r="AF51" i="19"/>
  <c r="AH45" i="19"/>
  <c r="AG30" i="19"/>
  <c r="AI47" i="19"/>
  <c r="AH44" i="19"/>
  <c r="AJ19" i="19"/>
  <c r="AJ51" i="19"/>
  <c r="AF33" i="19"/>
  <c r="AI53" i="19"/>
  <c r="AF52" i="19"/>
  <c r="AJ41" i="19"/>
  <c r="AG35" i="19"/>
  <c r="AG46" i="19"/>
  <c r="AH37" i="19"/>
  <c r="AG45" i="19"/>
  <c r="AI33" i="19"/>
  <c r="AI37" i="19"/>
  <c r="AF38" i="19"/>
  <c r="AF37" i="19"/>
  <c r="AJ36" i="19"/>
  <c r="AF31" i="19"/>
  <c r="AG43" i="19"/>
  <c r="AH51" i="19"/>
  <c r="AF16" i="19"/>
  <c r="AI48" i="19"/>
  <c r="AH34" i="19"/>
  <c r="AJ31" i="19"/>
  <c r="AH49" i="19"/>
  <c r="AF39" i="19"/>
  <c r="K3" i="19"/>
  <c r="K4" i="19" s="1"/>
  <c r="S2" i="19"/>
  <c r="N3" i="19"/>
  <c r="N4" i="19" s="1"/>
  <c r="V2" i="19"/>
  <c r="M3" i="19"/>
  <c r="M4" i="19" s="1"/>
  <c r="U2" i="19"/>
  <c r="L3" i="19"/>
  <c r="L4" i="19" s="1"/>
  <c r="L5" i="19" s="1"/>
  <c r="L6" i="19" s="1"/>
  <c r="T2" i="19"/>
  <c r="E4" i="19" a="1"/>
  <c r="E4" i="19" s="1"/>
  <c r="U4" i="19" s="1"/>
  <c r="J3" i="19"/>
  <c r="J4" i="19" s="1"/>
  <c r="R2" i="19"/>
  <c r="C17" i="19" a="1"/>
  <c r="C17" i="19" s="1"/>
  <c r="B4" i="19" a="1"/>
  <c r="B4" i="19" s="1"/>
  <c r="R4" i="19" s="1"/>
  <c r="B17" i="19" a="1"/>
  <c r="B17" i="19" s="1"/>
  <c r="C6" i="19" a="1"/>
  <c r="C6" i="19" s="1"/>
  <c r="S6" i="19" s="1"/>
  <c r="F6" i="19" a="1"/>
  <c r="F6" i="19" s="1"/>
  <c r="D6" i="19" a="1"/>
  <c r="D6" i="19" s="1"/>
  <c r="T6" i="19" s="1"/>
  <c r="AH14" i="19" s="1"/>
  <c r="E6" i="19" a="1"/>
  <c r="E6" i="19" s="1"/>
  <c r="U6" i="19" s="1"/>
  <c r="F4" i="19" a="1"/>
  <c r="F4" i="19" s="1"/>
  <c r="V4" i="19" s="1"/>
  <c r="E17" i="19" a="1"/>
  <c r="E17" i="19" s="1"/>
  <c r="C4" i="19" a="1"/>
  <c r="C4" i="19" s="1"/>
  <c r="S4" i="19" s="1"/>
  <c r="D17" i="19" a="1"/>
  <c r="D17" i="19" s="1"/>
  <c r="AB61" i="19" a="1"/>
  <c r="AA62" i="19" a="1"/>
  <c r="AC55" i="19" a="1"/>
  <c r="AB62" i="19" a="1"/>
  <c r="Z61" i="19" a="1"/>
  <c r="AC54" i="19" a="1"/>
  <c r="AA56" i="19" a="1"/>
  <c r="AC60" i="19" a="1"/>
  <c r="AB54" i="19" a="1"/>
  <c r="AA58" i="19" a="1"/>
  <c r="AA61" i="19" a="1"/>
  <c r="Z60" i="19" a="1"/>
  <c r="AC61" i="19" a="1"/>
  <c r="AB60" i="19" a="1"/>
  <c r="AC56" i="19" a="1"/>
  <c r="Y55" i="19" a="1"/>
  <c r="Y57" i="19" a="1"/>
  <c r="Z59" i="19" a="1"/>
  <c r="Y61" i="19" a="1"/>
  <c r="AA55" i="19" a="1"/>
  <c r="Y58" i="19" a="1"/>
  <c r="AB55" i="19" a="1"/>
  <c r="AA57" i="19" a="1"/>
  <c r="AB57" i="19" a="1"/>
  <c r="Z54" i="19" a="1"/>
  <c r="AA54" i="19" a="1"/>
  <c r="Z57" i="19" a="1"/>
  <c r="AB59" i="19" a="1"/>
  <c r="Y56" i="19" a="1"/>
  <c r="AC58" i="19" a="1"/>
  <c r="Z53" i="19" a="1"/>
  <c r="Z62" i="19" a="1"/>
  <c r="Y60" i="19" a="1"/>
  <c r="AB56" i="19" a="1"/>
  <c r="AA59" i="19" a="1"/>
  <c r="Z55" i="19" a="1"/>
  <c r="AC62" i="19" a="1"/>
  <c r="AB58" i="19" a="1"/>
  <c r="Y62" i="19" a="1"/>
  <c r="Z56" i="19" a="1"/>
  <c r="AA60" i="19" a="1"/>
  <c r="Z58" i="19" a="1"/>
  <c r="Y59" i="19" a="1"/>
  <c r="AC59" i="19" a="1"/>
  <c r="Y54" i="19" a="1"/>
  <c r="AC57" i="19" a="1"/>
  <c r="AH55" i="19" l="1"/>
  <c r="AG58" i="19"/>
  <c r="AI58" i="19"/>
  <c r="AG57" i="19"/>
  <c r="AG54" i="19"/>
  <c r="AG62" i="19"/>
  <c r="AF59" i="19"/>
  <c r="AI61" i="19"/>
  <c r="AI55" i="19"/>
  <c r="AI56" i="19"/>
  <c r="AI62" i="19"/>
  <c r="AJ58" i="19"/>
  <c r="AG60" i="19"/>
  <c r="AG55" i="19"/>
  <c r="AF60" i="19"/>
  <c r="AI59" i="19"/>
  <c r="AI60" i="19"/>
  <c r="AH56" i="19"/>
  <c r="AI54" i="19"/>
  <c r="AF62" i="19"/>
  <c r="AH59" i="19"/>
  <c r="AF54" i="19"/>
  <c r="AF57" i="19"/>
  <c r="AF58" i="19"/>
  <c r="AG61" i="19"/>
  <c r="AG56" i="19"/>
  <c r="AF56" i="19"/>
  <c r="AF55" i="19"/>
  <c r="AC58" i="19"/>
  <c r="AC57" i="19"/>
  <c r="AC54" i="19"/>
  <c r="AC62" i="19"/>
  <c r="AC60" i="19"/>
  <c r="AC59" i="19"/>
  <c r="AC56" i="19"/>
  <c r="AC61" i="19"/>
  <c r="AC55" i="19"/>
  <c r="Z56" i="19"/>
  <c r="Z53" i="19"/>
  <c r="Z55" i="19"/>
  <c r="Z57" i="19"/>
  <c r="Z58" i="19"/>
  <c r="Z62" i="19"/>
  <c r="Z61" i="19"/>
  <c r="Z60" i="19"/>
  <c r="Z54" i="19"/>
  <c r="Z59" i="19"/>
  <c r="Y61" i="19"/>
  <c r="Y55" i="19"/>
  <c r="Y58" i="19"/>
  <c r="Y59" i="19"/>
  <c r="Y56" i="19"/>
  <c r="Y57" i="19"/>
  <c r="Y60" i="19"/>
  <c r="Y62" i="19"/>
  <c r="Y54" i="19"/>
  <c r="AB61" i="19"/>
  <c r="AB55" i="19"/>
  <c r="AB54" i="19"/>
  <c r="AB59" i="19"/>
  <c r="AB62" i="19"/>
  <c r="AB56" i="19"/>
  <c r="AB57" i="19"/>
  <c r="AB58" i="19"/>
  <c r="AB60" i="19"/>
  <c r="AA54" i="19"/>
  <c r="AA57" i="19"/>
  <c r="AA55" i="19"/>
  <c r="AA59" i="19"/>
  <c r="AA62" i="19"/>
  <c r="AA58" i="19"/>
  <c r="AA56" i="19"/>
  <c r="AA60" i="19"/>
  <c r="AA61" i="19"/>
  <c r="AJ55" i="19"/>
  <c r="T17" i="19"/>
  <c r="AH26" i="19" s="1"/>
  <c r="AH61" i="19"/>
  <c r="AH57" i="19"/>
  <c r="U17" i="19"/>
  <c r="AI17" i="19" s="1"/>
  <c r="AJ56" i="19"/>
  <c r="V6" i="19"/>
  <c r="AJ14" i="19" s="1"/>
  <c r="AJ61" i="19"/>
  <c r="AH60" i="19"/>
  <c r="S17" i="19"/>
  <c r="AG23" i="19" s="1"/>
  <c r="AJ62" i="19"/>
  <c r="AH62" i="19"/>
  <c r="AJ60" i="19"/>
  <c r="AJ57" i="19"/>
  <c r="AH54" i="19"/>
  <c r="AJ54" i="19"/>
  <c r="AG53" i="19"/>
  <c r="R17" i="19"/>
  <c r="AF23" i="19" s="1"/>
  <c r="AI28" i="19"/>
  <c r="AF15" i="19"/>
  <c r="AH13" i="19"/>
  <c r="AH16" i="19"/>
  <c r="AG16" i="19"/>
  <c r="AI16" i="19"/>
  <c r="AI14" i="19"/>
  <c r="AF14" i="19"/>
  <c r="AH15" i="19"/>
  <c r="AI13" i="19"/>
  <c r="AG14" i="19"/>
  <c r="AG15" i="19"/>
  <c r="AF13" i="19"/>
  <c r="AG13" i="19"/>
  <c r="AI15" i="19"/>
  <c r="M5" i="19"/>
  <c r="M6" i="19" s="1"/>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M30" i="19" s="1"/>
  <c r="M31" i="19" s="1"/>
  <c r="M32" i="19" s="1"/>
  <c r="M33" i="19" s="1"/>
  <c r="M34" i="19" s="1"/>
  <c r="M35" i="19" s="1"/>
  <c r="M36" i="19" s="1"/>
  <c r="M37" i="19" s="1"/>
  <c r="M38" i="19" s="1"/>
  <c r="M39" i="19" s="1"/>
  <c r="M40" i="19" s="1"/>
  <c r="M41" i="19" s="1"/>
  <c r="M42" i="19" s="1"/>
  <c r="M43" i="19" s="1"/>
  <c r="M44" i="19" s="1"/>
  <c r="M45" i="19" s="1"/>
  <c r="M46" i="19" s="1"/>
  <c r="M47" i="19" s="1"/>
  <c r="M48" i="19" s="1"/>
  <c r="M49" i="19" s="1"/>
  <c r="M50" i="19" s="1"/>
  <c r="M51" i="19" s="1"/>
  <c r="M52" i="19" s="1"/>
  <c r="M53" i="19" s="1"/>
  <c r="M54" i="19" s="1"/>
  <c r="M55" i="19" s="1"/>
  <c r="M56" i="19" s="1"/>
  <c r="M57" i="19" s="1"/>
  <c r="M58" i="19" s="1"/>
  <c r="M59" i="19" s="1"/>
  <c r="M60" i="19" s="1"/>
  <c r="M61" i="19" s="1"/>
  <c r="M62" i="19" s="1"/>
  <c r="M63" i="19" s="1"/>
  <c r="N5" i="19"/>
  <c r="N6" i="19" s="1"/>
  <c r="N7" i="19" s="1"/>
  <c r="N8" i="19" s="1"/>
  <c r="N9" i="19" s="1"/>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K5" i="19"/>
  <c r="K6" i="19" s="1"/>
  <c r="K7" i="19" s="1"/>
  <c r="K8" i="19" s="1"/>
  <c r="K9" i="19" s="1"/>
  <c r="K10" i="19" s="1"/>
  <c r="K11" i="19" s="1"/>
  <c r="K12" i="19" s="1"/>
  <c r="K13" i="19" s="1"/>
  <c r="K14" i="19" s="1"/>
  <c r="K15" i="19" s="1"/>
  <c r="K16" i="19" s="1"/>
  <c r="K17" i="19" s="1"/>
  <c r="K18" i="19" s="1"/>
  <c r="K19" i="19" s="1"/>
  <c r="K20" i="19" s="1"/>
  <c r="K21" i="19" s="1"/>
  <c r="K22" i="19" s="1"/>
  <c r="K23" i="19" s="1"/>
  <c r="K24" i="19" s="1"/>
  <c r="K25" i="19" s="1"/>
  <c r="K26" i="19" s="1"/>
  <c r="K27" i="19" s="1"/>
  <c r="K28" i="19" s="1"/>
  <c r="K29" i="19" s="1"/>
  <c r="K30" i="19" s="1"/>
  <c r="K31" i="19" s="1"/>
  <c r="K32" i="19" s="1"/>
  <c r="K33" i="19" s="1"/>
  <c r="K34" i="19" s="1"/>
  <c r="K35" i="19" s="1"/>
  <c r="K36" i="19" s="1"/>
  <c r="K37" i="19" s="1"/>
  <c r="K38" i="19" s="1"/>
  <c r="K39" i="19" s="1"/>
  <c r="K40" i="19" s="1"/>
  <c r="K41" i="19" s="1"/>
  <c r="K42" i="19" s="1"/>
  <c r="K43" i="19" s="1"/>
  <c r="K44" i="19" s="1"/>
  <c r="K45" i="19" s="1"/>
  <c r="K46" i="19" s="1"/>
  <c r="K47" i="19" s="1"/>
  <c r="K48" i="19" s="1"/>
  <c r="K49" i="19" s="1"/>
  <c r="K50" i="19" s="1"/>
  <c r="K51" i="19" s="1"/>
  <c r="K52" i="19" s="1"/>
  <c r="K53" i="19" s="1"/>
  <c r="K54" i="19" s="1"/>
  <c r="K55" i="19" s="1"/>
  <c r="K56" i="19" s="1"/>
  <c r="K57" i="19" s="1"/>
  <c r="K58" i="19" s="1"/>
  <c r="K59" i="19" s="1"/>
  <c r="K60" i="19" s="1"/>
  <c r="K61" i="19" s="1"/>
  <c r="K62" i="19" s="1"/>
  <c r="K63" i="19" s="1"/>
  <c r="J5" i="19"/>
  <c r="J6" i="19" s="1"/>
  <c r="J7" i="19" s="1"/>
  <c r="J8" i="19" s="1"/>
  <c r="J9" i="19" s="1"/>
  <c r="J10" i="19" s="1"/>
  <c r="J11" i="19" s="1"/>
  <c r="J12" i="19" s="1"/>
  <c r="J13" i="19" s="1"/>
  <c r="J14" i="19" s="1"/>
  <c r="J15" i="19" s="1"/>
  <c r="J16" i="19" s="1"/>
  <c r="J17" i="19" s="1"/>
  <c r="J18" i="19" s="1"/>
  <c r="J19" i="19" s="1"/>
  <c r="J20" i="19" s="1"/>
  <c r="J21" i="19" s="1"/>
  <c r="J22" i="19" s="1"/>
  <c r="J23" i="19" s="1"/>
  <c r="J24" i="19" s="1"/>
  <c r="J25" i="19" s="1"/>
  <c r="J26" i="19" s="1"/>
  <c r="J27" i="19" s="1"/>
  <c r="J28" i="19" s="1"/>
  <c r="J29" i="19" s="1"/>
  <c r="J30" i="19" s="1"/>
  <c r="J31" i="19" s="1"/>
  <c r="J32" i="19" s="1"/>
  <c r="J33" i="19" s="1"/>
  <c r="J34" i="19" s="1"/>
  <c r="J35" i="19" s="1"/>
  <c r="J36" i="19" s="1"/>
  <c r="J37" i="19" s="1"/>
  <c r="J38" i="19" s="1"/>
  <c r="J39" i="19" s="1"/>
  <c r="J40" i="19" s="1"/>
  <c r="J41" i="19" s="1"/>
  <c r="J42" i="19" s="1"/>
  <c r="J43" i="19" s="1"/>
  <c r="J44" i="19" s="1"/>
  <c r="J45" i="19" s="1"/>
  <c r="J46" i="19" s="1"/>
  <c r="J47" i="19" s="1"/>
  <c r="J48" i="19" s="1"/>
  <c r="J49" i="19" s="1"/>
  <c r="J50" i="19" s="1"/>
  <c r="J51" i="19" s="1"/>
  <c r="J52" i="19" s="1"/>
  <c r="J53" i="19" s="1"/>
  <c r="J54" i="19" s="1"/>
  <c r="J55" i="19" s="1"/>
  <c r="J56" i="19" s="1"/>
  <c r="J57" i="19" s="1"/>
  <c r="J58" i="19" s="1"/>
  <c r="J59" i="19" s="1"/>
  <c r="J60" i="19" s="1"/>
  <c r="J61" i="19" s="1"/>
  <c r="J62" i="19" s="1"/>
  <c r="J63" i="19" s="1"/>
  <c r="L7" i="19"/>
  <c r="L8" i="19" s="1"/>
  <c r="L9" i="19" s="1"/>
  <c r="L10" i="19" s="1"/>
  <c r="L11" i="19" s="1"/>
  <c r="L12" i="19" s="1"/>
  <c r="L13" i="19" s="1"/>
  <c r="L14" i="19" s="1"/>
  <c r="L15" i="19" s="1"/>
  <c r="L16" i="19" s="1"/>
  <c r="L17" i="19" s="1"/>
  <c r="L18" i="19" s="1"/>
  <c r="L19" i="19" s="1"/>
  <c r="L20" i="19" s="1"/>
  <c r="L21" i="19" s="1"/>
  <c r="L22" i="19" s="1"/>
  <c r="L23" i="19" s="1"/>
  <c r="L24" i="19" s="1"/>
  <c r="L25" i="19" s="1"/>
  <c r="L26" i="19" s="1"/>
  <c r="L27" i="19" s="1"/>
  <c r="L28" i="19" s="1"/>
  <c r="L29" i="19" s="1"/>
  <c r="L30" i="19" s="1"/>
  <c r="L31" i="19" s="1"/>
  <c r="L32" i="19" s="1"/>
  <c r="L33" i="19" s="1"/>
  <c r="L34" i="19" s="1"/>
  <c r="L35" i="19" s="1"/>
  <c r="L36" i="19" s="1"/>
  <c r="L37" i="19" s="1"/>
  <c r="L38" i="19" s="1"/>
  <c r="L39" i="19" s="1"/>
  <c r="L40" i="19" s="1"/>
  <c r="L41" i="19" s="1"/>
  <c r="L42" i="19" s="1"/>
  <c r="L43" i="19" s="1"/>
  <c r="L44" i="19" s="1"/>
  <c r="L45" i="19" s="1"/>
  <c r="L46" i="19" s="1"/>
  <c r="L47" i="19" s="1"/>
  <c r="L48" i="19" s="1"/>
  <c r="L49" i="19" s="1"/>
  <c r="L50" i="19" s="1"/>
  <c r="L51" i="19" s="1"/>
  <c r="L52" i="19" s="1"/>
  <c r="L53" i="19" s="1"/>
  <c r="L54" i="19" s="1"/>
  <c r="L55" i="19" s="1"/>
  <c r="L56" i="19" s="1"/>
  <c r="L57" i="19" s="1"/>
  <c r="L58" i="19" s="1"/>
  <c r="L59" i="19" s="1"/>
  <c r="L60" i="19" s="1"/>
  <c r="L61" i="19" s="1"/>
  <c r="L62" i="19" s="1"/>
  <c r="L63" i="19" s="1"/>
  <c r="AB38" i="19" a="1"/>
  <c r="AA52" i="19" a="1"/>
  <c r="Z46" i="19" a="1"/>
  <c r="Z39" i="19" a="1"/>
  <c r="Z41" i="19" a="1"/>
  <c r="AA41" i="19" a="1"/>
  <c r="AB48" i="19" a="1"/>
  <c r="AB39" i="19" a="1"/>
  <c r="AA43" i="19" a="1"/>
  <c r="Z50" i="19" a="1"/>
  <c r="AB46" i="19" a="1"/>
  <c r="Z44" i="19" a="1"/>
  <c r="Y49" i="19" a="1"/>
  <c r="Y41" i="19" a="1"/>
  <c r="AB47" i="19" a="1"/>
  <c r="AB40" i="19" a="1"/>
  <c r="Y47" i="19" a="1"/>
  <c r="Z49" i="19" a="1"/>
  <c r="AA50" i="19" a="1"/>
  <c r="Z37" i="19" a="1"/>
  <c r="Y48" i="19" a="1"/>
  <c r="Y43" i="19" a="1"/>
  <c r="Y44" i="19" a="1"/>
  <c r="AB44" i="19" a="1"/>
  <c r="Y45" i="19" a="1"/>
  <c r="AC41" i="19" a="1"/>
  <c r="AC37" i="19" a="1"/>
  <c r="Y50" i="19" a="1"/>
  <c r="AB50" i="19" a="1"/>
  <c r="Y46" i="19" a="1"/>
  <c r="AA49" i="19" a="1"/>
  <c r="AA44" i="19" a="1"/>
  <c r="AB51" i="19" a="1"/>
  <c r="Z43" i="19" a="1"/>
  <c r="AA39" i="19" a="1"/>
  <c r="Y37" i="19" a="1"/>
  <c r="Z42" i="19" a="1"/>
  <c r="AA45" i="19" a="1"/>
  <c r="AA37" i="19" a="1"/>
  <c r="Z45" i="19" a="1"/>
  <c r="Z38" i="19" a="1"/>
  <c r="AB42" i="19" a="1"/>
  <c r="AB41" i="19" a="1"/>
  <c r="AA47" i="19" a="1"/>
  <c r="AA42" i="19" a="1"/>
  <c r="AB37" i="19" a="1"/>
  <c r="Z47" i="19" a="1"/>
  <c r="Z51" i="19" a="1"/>
  <c r="Z52" i="19" a="1"/>
  <c r="AC39" i="19" a="1"/>
  <c r="AB49" i="19" a="1"/>
  <c r="Y38" i="19" a="1"/>
  <c r="AB52" i="19" a="1"/>
  <c r="AA51" i="19" a="1"/>
  <c r="AA38" i="19" a="1"/>
  <c r="AA40" i="19" a="1"/>
  <c r="Y52" i="19" a="1"/>
  <c r="Y42" i="19" a="1"/>
  <c r="Y40" i="19" a="1"/>
  <c r="Y39" i="19" a="1"/>
  <c r="Z40" i="19" a="1"/>
  <c r="Z48" i="19" a="1"/>
  <c r="AC40" i="19" a="1"/>
  <c r="AC38" i="19" a="1"/>
  <c r="AB45" i="19" a="1"/>
  <c r="AB43" i="19" a="1"/>
  <c r="AA46" i="19" a="1"/>
  <c r="AA48" i="19" a="1"/>
  <c r="Y51" i="19" a="1"/>
  <c r="AF28" i="19" l="1"/>
  <c r="AG18" i="19"/>
  <c r="AG20" i="19"/>
  <c r="AJ16" i="19"/>
  <c r="AG24" i="19"/>
  <c r="AJ13" i="19"/>
  <c r="AF22" i="19"/>
  <c r="AI18" i="19"/>
  <c r="AG21" i="19"/>
  <c r="AF24" i="19"/>
  <c r="AF20" i="19"/>
  <c r="AF18" i="19"/>
  <c r="AI23" i="19"/>
  <c r="AJ15" i="19"/>
  <c r="AF27" i="19"/>
  <c r="AF26" i="19"/>
  <c r="AH24" i="19"/>
  <c r="AH19" i="19"/>
  <c r="AG26" i="19"/>
  <c r="AH21" i="19"/>
  <c r="AG19" i="19"/>
  <c r="AI22" i="19"/>
  <c r="AG22" i="19"/>
  <c r="AI26" i="19"/>
  <c r="AH27" i="19"/>
  <c r="AG27" i="19"/>
  <c r="AI21" i="19"/>
  <c r="AI20" i="19"/>
  <c r="AG17" i="19"/>
  <c r="AG28" i="19"/>
  <c r="AG25" i="19"/>
  <c r="AB39" i="19"/>
  <c r="AB38" i="19"/>
  <c r="AB50" i="19"/>
  <c r="AB43" i="19"/>
  <c r="AB41" i="19"/>
  <c r="AB51" i="19"/>
  <c r="AB37" i="19"/>
  <c r="AB52" i="19"/>
  <c r="AB47" i="19"/>
  <c r="AB46" i="19"/>
  <c r="AB48" i="19"/>
  <c r="AB49" i="19"/>
  <c r="AB40" i="19"/>
  <c r="AB45" i="19"/>
  <c r="AB42" i="19"/>
  <c r="AB44" i="19"/>
  <c r="AA38" i="19"/>
  <c r="AA39" i="19"/>
  <c r="AA41" i="19"/>
  <c r="AA44" i="19"/>
  <c r="AA45" i="19"/>
  <c r="AA40" i="19"/>
  <c r="AA43" i="19"/>
  <c r="AA37" i="19"/>
  <c r="AA50" i="19"/>
  <c r="AA42" i="19"/>
  <c r="AA47" i="19"/>
  <c r="AA51" i="19"/>
  <c r="AA48" i="19"/>
  <c r="AA49" i="19"/>
  <c r="AA52" i="19"/>
  <c r="AA46" i="19"/>
  <c r="Z41" i="19"/>
  <c r="Z49" i="19"/>
  <c r="Z50" i="19"/>
  <c r="Z48" i="19"/>
  <c r="Z46" i="19"/>
  <c r="Z44" i="19"/>
  <c r="Z52" i="19"/>
  <c r="Z47" i="19"/>
  <c r="Z45" i="19"/>
  <c r="Z40" i="19"/>
  <c r="Z43" i="19"/>
  <c r="Z42" i="19"/>
  <c r="Z51" i="19"/>
  <c r="Z38" i="19"/>
  <c r="Z37" i="19"/>
  <c r="Z39" i="19"/>
  <c r="Y42" i="19"/>
  <c r="Y45" i="19"/>
  <c r="Y48" i="19"/>
  <c r="Y37" i="19"/>
  <c r="Y51" i="19"/>
  <c r="Y46" i="19"/>
  <c r="Y39" i="19"/>
  <c r="Y43" i="19"/>
  <c r="Y44" i="19"/>
  <c r="Y47" i="19"/>
  <c r="Y40" i="19"/>
  <c r="Y52" i="19"/>
  <c r="Y41" i="19"/>
  <c r="Y50" i="19"/>
  <c r="Y49" i="19"/>
  <c r="Y38" i="19"/>
  <c r="AC39" i="19"/>
  <c r="AC38" i="19"/>
  <c r="AC40" i="19"/>
  <c r="AC37" i="19"/>
  <c r="AC41" i="19"/>
  <c r="AI19" i="19"/>
  <c r="AF25" i="19"/>
  <c r="AH25" i="19"/>
  <c r="AF17" i="19"/>
  <c r="AH22" i="19"/>
  <c r="AH28" i="19"/>
  <c r="AI24" i="19"/>
  <c r="AH18" i="19"/>
  <c r="AH23" i="19"/>
  <c r="AF21" i="19"/>
  <c r="AF19" i="19"/>
  <c r="AH20" i="19"/>
  <c r="AJ17" i="19"/>
  <c r="AI27" i="19"/>
  <c r="AI25" i="19"/>
  <c r="AH17" i="1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<sst xmlns="http://schemas.openxmlformats.org/spreadsheetml/2006/main" count="1639" uniqueCount="463">
  <si>
    <t>Real Estate</t>
  </si>
  <si>
    <t xml:space="preserve">Integrated Best Ideas </t>
  </si>
  <si>
    <t>Climate Sustainability</t>
  </si>
  <si>
    <t>Inclusive Innovation</t>
  </si>
  <si>
    <t>Impact 1099</t>
  </si>
  <si>
    <t>Impact 100%</t>
  </si>
  <si>
    <t>Stability Assets</t>
  </si>
  <si>
    <t>Cash Equivalent</t>
  </si>
  <si>
    <t>Fidelity Treasury (FRBXX)</t>
  </si>
  <si>
    <t>StoneCastle - FICA For Impact</t>
  </si>
  <si>
    <t>IG Fixed Income</t>
  </si>
  <si>
    <t>PIMCO ESG Muni Or Corp Ladder</t>
  </si>
  <si>
    <t>PIMCO ESG Muni Or Corp Ladder (Climate)</t>
  </si>
  <si>
    <t>PIMCO ESG Muni Or Corp Ladder (Social)</t>
  </si>
  <si>
    <t>Diversified Assets</t>
  </si>
  <si>
    <t>Avanath Renaissance</t>
  </si>
  <si>
    <t>Vistria Affordable Housing</t>
  </si>
  <si>
    <t>Infrastructure</t>
  </si>
  <si>
    <t>Brookfield Infrastructure Income</t>
  </si>
  <si>
    <t>Blackstone Infrastructure Strategies</t>
  </si>
  <si>
    <t>Private Credit</t>
  </si>
  <si>
    <t>CIM Enterprise Loan Fund, L.P.</t>
  </si>
  <si>
    <t>CIM EM Credit Fund</t>
  </si>
  <si>
    <t>Sust. Forestry</t>
  </si>
  <si>
    <t>BTG Timber OEF</t>
  </si>
  <si>
    <t>Growth Assets - Public</t>
  </si>
  <si>
    <t>US Passive</t>
  </si>
  <si>
    <t>Parametric / Aperio ESG Screened</t>
  </si>
  <si>
    <t>Global Active</t>
  </si>
  <si>
    <t>Global Alpha Fund</t>
  </si>
  <si>
    <t>Impact World Equity Fund</t>
  </si>
  <si>
    <t>Janus Global Sustainable Equity (JEIUX)</t>
  </si>
  <si>
    <t>Vanguard ESG Stock Select (VESGX)</t>
  </si>
  <si>
    <t>Thematic</t>
  </si>
  <si>
    <t>iShares Paris Climate USA (PABU)</t>
  </si>
  <si>
    <t>Galvanize Global Equity</t>
  </si>
  <si>
    <t>ReEnvision Wealth SMA</t>
  </si>
  <si>
    <t>Global EM</t>
  </si>
  <si>
    <t>Matthews EM Sustainable Fund (MISFX)</t>
  </si>
  <si>
    <t xml:space="preserve">  </t>
  </si>
  <si>
    <t>Growth Assets - Private</t>
  </si>
  <si>
    <t>Climate Tech VC (DCVC, LCC, EIP)</t>
  </si>
  <si>
    <t>Financial Inclusion &amp; HC (Quona, Apis)</t>
  </si>
  <si>
    <t>Decarbonization PE (Ara, Verdane)</t>
  </si>
  <si>
    <t>Decarbonization PE (Verdane, Vision Ridge)</t>
  </si>
  <si>
    <t>Sustainable Real Assets (Alder Point, EFM)</t>
  </si>
  <si>
    <t>Emerging Managers (Enable, Harlem)</t>
  </si>
  <si>
    <t>Catalytic Debt (with proceeds taken from IG Fixed Income)</t>
  </si>
  <si>
    <t>California Farmlink or Walden Bank</t>
  </si>
  <si>
    <t>California Farmlink</t>
  </si>
  <si>
    <t>Akiptan or Walden Bank</t>
  </si>
  <si>
    <t>Craft3 or Enterprise Comm Loan Fund</t>
  </si>
  <si>
    <t>Craft3</t>
  </si>
  <si>
    <t>Enterprise Comm Loan Fund or Craft3</t>
  </si>
  <si>
    <t>RCAC or Oweesta</t>
  </si>
  <si>
    <t>Walden Bank</t>
  </si>
  <si>
    <t>Seed Commons or Akiptan</t>
  </si>
  <si>
    <t>Akiptan</t>
  </si>
  <si>
    <t>Seed Commons or California Farmlink</t>
  </si>
  <si>
    <t>ValueAct LP</t>
  </si>
  <si>
    <t>Non US</t>
  </si>
  <si>
    <t>iShares Paris Climate EX-USA (PABD)</t>
  </si>
  <si>
    <t>iShares USD Green Bond ETF (BGRN)</t>
  </si>
  <si>
    <t>Variant Impact Fund</t>
  </si>
  <si>
    <t>Aperio or Xponance</t>
  </si>
  <si>
    <t>Parametric ESG Screened</t>
  </si>
  <si>
    <t>PEP (2.5% per vintage)</t>
  </si>
  <si>
    <t>GIO (2.5% per vintage)</t>
  </si>
  <si>
    <t>GIO (3% per vintage)</t>
  </si>
  <si>
    <t>Cash</t>
  </si>
  <si>
    <t>Wellington Impact Bond</t>
  </si>
  <si>
    <t>iShares Global Aggregate Bond ESG ETF</t>
  </si>
  <si>
    <t>Patrizia*</t>
  </si>
  <si>
    <t>Schroders Greencoat</t>
  </si>
  <si>
    <t>Brookfield</t>
  </si>
  <si>
    <t>BlueEarth</t>
  </si>
  <si>
    <t>Global Equities</t>
  </si>
  <si>
    <t>Wellington Global Stewards</t>
  </si>
  <si>
    <t>Stewart Inc. Global EM Sust</t>
  </si>
  <si>
    <t>Global Thematic Equity</t>
  </si>
  <si>
    <t>Greenbacker GREC-2 (replacement)</t>
  </si>
  <si>
    <t>Public Credit</t>
  </si>
  <si>
    <t>RobecoSAM SDG Credit</t>
  </si>
  <si>
    <t>Global Passive</t>
  </si>
  <si>
    <t>Janus Global Sustainable</t>
  </si>
  <si>
    <t>iShares MSCI World Screened UCITS ETF</t>
  </si>
  <si>
    <t>iShares S&amp;P 500 Paris-Aligned Climate UCITS ETF</t>
  </si>
  <si>
    <t>Pacific North of South</t>
  </si>
  <si>
    <t>Pinnacle / Life Cycle</t>
  </si>
  <si>
    <t>AlTi Alianz Private Credit</t>
  </si>
  <si>
    <t>TBD - Corbin Elevation Fund or Variant</t>
  </si>
  <si>
    <t>TBD - Nia Impact Solutions Fund</t>
  </si>
  <si>
    <t>Galvanize Global Equity LP</t>
  </si>
  <si>
    <t>Private Credit (Groundwork, Founders First)</t>
  </si>
  <si>
    <t>Sustainable Real Assets (Alder Point, EFM, GSC)</t>
  </si>
  <si>
    <t>Seed Commons</t>
  </si>
  <si>
    <t>Oweesta</t>
  </si>
  <si>
    <t>STABILITY</t>
  </si>
  <si>
    <t>DIVERSIFIED</t>
  </si>
  <si>
    <t>GROWTH</t>
  </si>
  <si>
    <t>NAME</t>
  </si>
  <si>
    <t>RISK ALLOCATION</t>
  </si>
  <si>
    <t>DCVC Climate</t>
  </si>
  <si>
    <t>EIP Flagship</t>
  </si>
  <si>
    <t>EIP Frontier</t>
  </si>
  <si>
    <t>Ara Partners</t>
  </si>
  <si>
    <t>Ambienta</t>
  </si>
  <si>
    <t>Alder Point</t>
  </si>
  <si>
    <t>Enable Ventures</t>
  </si>
  <si>
    <t>Harlem Capital</t>
  </si>
  <si>
    <t>Impact America Fund</t>
  </si>
  <si>
    <t>Global Sustainable Equity (Generation)</t>
  </si>
  <si>
    <t>Lowercarbon Q&gt;10</t>
  </si>
  <si>
    <t>Lowercarbon Opportunity</t>
  </si>
  <si>
    <t>K1</t>
  </si>
  <si>
    <t>DESCRIPTION</t>
  </si>
  <si>
    <t>Parametric ESG Screened SMA</t>
  </si>
  <si>
    <t xml:space="preserve">Verdane Idun </t>
  </si>
  <si>
    <t>Ecotrust Forest Management (EFM)</t>
  </si>
  <si>
    <t>Vision Ridge Sustainable Asset Fund</t>
  </si>
  <si>
    <t>Quona / Accion</t>
  </si>
  <si>
    <t>Apis Fund III</t>
  </si>
  <si>
    <t>Aristata Litigation Finance</t>
  </si>
  <si>
    <t>Vistria Private Equity</t>
  </si>
  <si>
    <t>Corbin Elevation Fund</t>
  </si>
  <si>
    <t>Avanath Renaissance Housing</t>
  </si>
  <si>
    <t>An institutional U.S. Treasury money market fund investing in near-cash government securities and repurchase agreements, designed to preserve capital and liquidity. It offers minimal risk and yield, maintaining principal stability while providing daily liquidity for short-term cash management needs.</t>
  </si>
  <si>
    <t>Mutual Fund</t>
  </si>
  <si>
    <t>Cash / Short Duration Fixed Income</t>
  </si>
  <si>
    <t>U.S.</t>
  </si>
  <si>
    <t>Money market yield (~2-4%)</t>
  </si>
  <si>
    <t>Daily liquidity</t>
  </si>
  <si>
    <t>Cash management / Low-carbon treasury</t>
  </si>
  <si>
    <t>SMA</t>
  </si>
  <si>
    <t>Fixed Income</t>
  </si>
  <si>
    <t>Stable income, tax-advantaged, low volatility (~3-5%)</t>
  </si>
  <si>
    <t>Sustainable fixed income</t>
  </si>
  <si>
    <t>A passively managed ETF tracking an index of USD-denominated investment-grade green bonds. It provides fixed-income exposure to environmentally focused debt instruments with credit quality similar to broad IG bonds and moderate interest rate risk, aligning bond portfolios with climate finance goals.</t>
  </si>
  <si>
    <t>ETF</t>
  </si>
  <si>
    <t>Investment grade bond-like returns (~3-5%)</t>
  </si>
  <si>
    <t>Climate finance (green bonds)</t>
  </si>
  <si>
    <t>An evergreen core-plus real estate fund acquiring and preserving multifamily affordable housing properties across the U.S., with the capacity to rehabilitate and expand existing assets. The strategy delivers steady income and moderate appreciation by operating subsidized and workforce housing, targeting stable returns with low volatility.</t>
  </si>
  <si>
    <t>Private Real Estate Fund</t>
  </si>
  <si>
    <t>Real Assets / Housing</t>
  </si>
  <si>
    <t>Core-plus real estate, stable income + appreciation (~6-8%)</t>
  </si>
  <si>
    <t>Affordable housing</t>
  </si>
  <si>
    <t>A semi-liquid infrastructure fund offering diversified exposure to high-quality infrastructure equity and debt investments. It focuses on essential assets that generate long-term, inflation-linked cash flows, aiming for stable income and strong risk-adjusted returns.</t>
  </si>
  <si>
    <t>Private Infrastructure Fund</t>
  </si>
  <si>
    <t>Infrastructure Equity &amp; Debt</t>
  </si>
  <si>
    <t>Global</t>
  </si>
  <si>
    <t>Stable income, inflation-linked, infrastructure yields (~8-10%)</t>
  </si>
  <si>
    <t>Infrastructure / Energy transition</t>
  </si>
  <si>
    <t>Blackstone’s Core+ infrastructure strategy investing in large-scale, long-lived infrastructure assets primarily in North America. It employs a long-term buy-and-hold approach to deliver stable cash yield and capital appreciation, leveraging Blackstone’s operational expertise to enhance value.</t>
  </si>
  <si>
    <t>Infrastructure Equity</t>
  </si>
  <si>
    <t>An open-ended core timberland fund investing in U.S. commercial timberland assets with a focus on sustainable forestry practices. It targets ~7–8% net IRR over the long term, providing low-correlation, inflation-hedged returns from biological timber growth and land appreciation.</t>
  </si>
  <si>
    <t>Private Timberland Fund</t>
  </si>
  <si>
    <t>Timberland / Real Assets</t>
  </si>
  <si>
    <t>Timberland returns (~7-8% IRR, inflation-hedged)</t>
  </si>
  <si>
    <t>Sustainable forestry / Carbon sequestration</t>
  </si>
  <si>
    <t>An open-end affordable housing private fund deploying institutional capital to acquire, preserve, and develop affordable and workforce housing at scale. It raises permanent capital to tap into resilient, income-producing housing assets, targeting market-rate returns while expanding access to affordable homes.</t>
  </si>
  <si>
    <t>Affordable housing, income + appreciation (~6-8%)</t>
  </si>
  <si>
    <t>Evergreen, semi-liquid (quarterly)</t>
  </si>
  <si>
    <t>A private sustainable infrastructure vehicle investing in a diversified portfolio of renewable energy assets across the U.S., structured as an independent power producer. It owns and operates clean energy projects that generate stable, long-term income from power purchase agreements.</t>
  </si>
  <si>
    <t>Renewable Energy Infrastructure</t>
  </si>
  <si>
    <t>Renewable energy infra, long-term cash flows (~6-9%)</t>
  </si>
  <si>
    <t>Renewable energy / Energy transition</t>
  </si>
  <si>
    <t>A private impact debt fund providing strategic capital to technology-enabled lenders serving small businesses and underserved individuals. It creates a diversified portfolio of loans to inclusive fintech and alternative credit platforms, delivering steady, uncorrelated returns while supporting economic empowerment.</t>
  </si>
  <si>
    <t>Private Credit Fund</t>
  </si>
  <si>
    <t>Private credit, steady yield (~6-8%)</t>
  </si>
  <si>
    <t>Financial inclusion / SME lending</t>
  </si>
  <si>
    <t>A private emerging-markets credit strategy extending debt financing to responsible fintech lenders and microfinance institutions in developing economies. It aims to generate market-rate returns by financing creditworthy but underserved borrowers across multiple countries.</t>
  </si>
  <si>
    <t>Emerging Market Credit</t>
  </si>
  <si>
    <t>Emerging Markets</t>
  </si>
  <si>
    <t>Emerging markets credit, uncorrelated yield (~8-12%)</t>
  </si>
  <si>
    <t>Financial inclusion / Emerging markets</t>
  </si>
  <si>
    <t>Diversified hedge/credit, uncorrelated returns (~6-10%)</t>
  </si>
  <si>
    <t>ESG integration / DEI</t>
  </si>
  <si>
    <t>A continuously offered interval fund providing efficient access to a diversified portfolio of unconventional, income-generating assets aligned with the UN Sustainable Development Goals. It invests in niche private credit and real assets with strong cash flows and low correlation to public markets.</t>
  </si>
  <si>
    <t>Private Credit / Real Assets</t>
  </si>
  <si>
    <t>High current income, low correlation (~8-10%)</t>
  </si>
  <si>
    <t>Multi-theme / SDGs</t>
  </si>
  <si>
    <t>A separately managed account strategy implementing a rules-based equity portfolio with customized ESG screens. Parametric constructs a broad market index replication and excludes or underweights companies that fail the client’s ESG criteria, maintaining similar sector exposures and risk/return profile.</t>
  </si>
  <si>
    <t>Equities</t>
  </si>
  <si>
    <t>Index-like returns, low tracking error</t>
  </si>
  <si>
    <t>ESG integration / Custom values alignment</t>
  </si>
  <si>
    <t>A global equity strategy managed by Generation Investment Management, holding a concentrated, high-conviction portfolio of public companies selected for superior sustainability performance. It integrates ESG analysis into fundamental research to outperform global benchmarks over a long horizon.</t>
  </si>
  <si>
    <t>Long-term equity outperformance vs benchmark (~8-12%)</t>
  </si>
  <si>
    <t>Sustainability leaders / ESG integration</t>
  </si>
  <si>
    <t>A global public equities fund pursuing active alpha generation across developed and emerging markets. It maintains a diversified portfolio of high-quality companies and uses fundamental research and active risk management to seek excess returns over benchmarks.</t>
  </si>
  <si>
    <t>Public equity alpha (~8-12%)</t>
  </si>
  <si>
    <t>General equity (ESG optional)</t>
  </si>
  <si>
    <t>An actively managed global equity mutual fund investing in companies that contribute to a more sustainable global economy. It builds a diversified portfolio across sectors and regions, aiming for long-term capital growth with competitive returns relative to global indices.</t>
  </si>
  <si>
    <t>Sustainability leaders</t>
  </si>
  <si>
    <t>An actively managed global ESG equity fund holding ~35–45 stocks of industry-leading companies with strong sustainable business practices. It aims to maximize long-term returns while significantly overweighting sustainability leaders.</t>
  </si>
  <si>
    <t>A passive ETF tracking the MSCI USA Climate Paris-Aligned Benchmark, composed of U.S. large- and mid-cap stocks optimized for alignment with Paris Agreement climate goals. It provides broad U.S. equity exposure with a significantly reduced carbon footprint.</t>
  </si>
  <si>
    <t>U.S. Equities (Climate)</t>
  </si>
  <si>
    <t>Equity-like returns, Paris-aligned (~7-10%)</t>
  </si>
  <si>
    <t>Climate / Decarbonization (Paris aligned)</t>
  </si>
  <si>
    <t>A passive ETF tracking the MSCI World ex USA Climate Paris-Aligned Benchmark, covering developed market equities outside the U.S. optimized for Paris Agreement alignment. It offers international equity exposure while tilting toward climate leaders and away from carbon-intensive firms.</t>
  </si>
  <si>
    <t>International Equities (Climate)</t>
  </si>
  <si>
    <t>International (ex-U.S.)</t>
  </si>
  <si>
    <t>A concentrated activist equity strategy acquiring significant minority stakes in undervalued public companies and engaging collaboratively with management and boards. It aims for private-equity-like returns in public markets by catalyzing operational and ESG improvements.</t>
  </si>
  <si>
    <t>Public Equities (Activist)</t>
  </si>
  <si>
    <t>Private-equity-like returns in public markets (~10-15%)</t>
  </si>
  <si>
    <t>Shareholder engagement / Governance</t>
  </si>
  <si>
    <t>A global public equities fund that invests in businesses positioned to lead and benefit from the climate transition. It employs a high-conviction, long-only approach integrating deep fundamental and impact analysis.</t>
  </si>
  <si>
    <t>Global Equities (Climate)</t>
  </si>
  <si>
    <t>Public equity outperformance (~8-12%)</t>
  </si>
  <si>
    <t>Climate solutions</t>
  </si>
  <si>
    <t>An emerging markets equity fund that invests in companies addressing sustainability challenges in developing economies. It focuses on sectors like clean energy, sustainable agriculture, healthcare, and education.</t>
  </si>
  <si>
    <t>Emerging Market Equities</t>
  </si>
  <si>
    <t>EM equity growth (~9-12%)</t>
  </si>
  <si>
    <t>Sustainable development / Emerging markets</t>
  </si>
  <si>
    <t>A prospective impact investment fund targeting a diversified portfolio of public equities solving global sustainability challenges. Expected to invest across clean energy, sustainable agriculture, and equal opportunity themes.</t>
  </si>
  <si>
    <t>Planned public equity-like returns (~8-12%)</t>
  </si>
  <si>
    <t>Climate &amp; social solutions (planned)</t>
  </si>
  <si>
    <t>A bespoke ESG-focused separately managed account tailored to an institution’s specific impact goals. It integrates ESG criteria into portfolio construction while maintaining benchmark-like risk/return characteristics.</t>
  </si>
  <si>
    <t>Custom Multi-Asset / Equities</t>
  </si>
  <si>
    <t>Custom benchmark-like returns</t>
  </si>
  <si>
    <t>Custom ESG / Values alignment</t>
  </si>
  <si>
    <t>A community development loan fund that provides affordable financing to beginning and underserved farmers and ranchers in California. Investments offer stable, modest returns while supporting local food systems and farmland conservation.</t>
  </si>
  <si>
    <t>CDFI Loan Fund</t>
  </si>
  <si>
    <t>Community Development / Ag Lending</t>
  </si>
  <si>
    <t>Stable modest returns (~2-4%)</t>
  </si>
  <si>
    <t>Notes, 5–30 year terms, illiquid until maturity</t>
  </si>
  <si>
    <t>Sustainable agriculture / Food systems</t>
  </si>
  <si>
    <t>A regional nonprofit CDFI serving the Pacific Northwest, funding loans for small businesses, clean energy, affordable housing, and environmental projects. Investors can purchase Community Impact Investment Notes with modest fixed returns.</t>
  </si>
  <si>
    <t>Community Development / Credit</t>
  </si>
  <si>
    <t>U.S. (Pacific Northwest)</t>
  </si>
  <si>
    <t>Stable modest returns (~2-3%)</t>
  </si>
  <si>
    <t>Notes, 5–10 year terms, illiquid until maturity</t>
  </si>
  <si>
    <t>Community development / Small business</t>
  </si>
  <si>
    <t>A Native American CDFI that provides flexible loans and technical assistance to Indigenous farmers, ranchers, and agricultural enterprises. It supports projects enhancing food sovereignty, land stewardship, and economic self-sufficiency.</t>
  </si>
  <si>
    <t>Native American Communities (U.S.)</t>
  </si>
  <si>
    <t>Native community agriculture / Food sovereignty</t>
  </si>
  <si>
    <t>Enterprise Loan Fund</t>
  </si>
  <si>
    <t>A national CDFI loan fund that finances affordable housing, community health clinics, education facilities, and other community development projects. Investors receive fixed annual interest while capital is deployed as short-term project loans.</t>
  </si>
  <si>
    <t>Community Development / Affordable Housing</t>
  </si>
  <si>
    <t>Affordable housing / Community development</t>
  </si>
  <si>
    <t>A cooperatively governed national loan fund network providing non-extractive financing to worker cooperatives and community-owned businesses. It pools capital and redistributes it through local loan funds to empower worker co-ops.</t>
  </si>
  <si>
    <t>Worker Cooperative Lending</t>
  </si>
  <si>
    <t>Stable modest returns (~1-3%)</t>
  </si>
  <si>
    <t>Worker cooperatives / Inclusive economy</t>
  </si>
  <si>
    <t>A Native CDFI intermediary that provides capital and capacity-building to Native American community lenders and economic development projects. It issues Community Investment Notes paying modest interest while lending to Native CDFIs and tribal projects.</t>
  </si>
  <si>
    <t>Stable modest returns (~3-4%)</t>
  </si>
  <si>
    <t>Native communities / Financial inclusion</t>
  </si>
  <si>
    <t>A venture capital fund dedicated to climate technology, focusing on deep-tech solutions that slash greenhouse gas emissions or bolster climate resilience. It invests in early to growth-stage companies across energy, transportation, agriculture, and industrial sectors.</t>
  </si>
  <si>
    <t>Venture Capital (Climate Tech)</t>
  </si>
  <si>
    <t>Venture-style returns (~20%+ IRR)</t>
  </si>
  <si>
    <t>Climate tech / Deep decarbonization</t>
  </si>
  <si>
    <t>A climate-tech opportunity fund making follow-on and later-stage investments in high-performing climate solution companies. It deploys capital into more mature ventures in areas like renewable energy and carbon removal.</t>
  </si>
  <si>
    <t>Later-stage venture returns (~15-20% IRR)</t>
  </si>
  <si>
    <t>Climate tech / Growth equity</t>
  </si>
  <si>
    <t>A long-horizon climate fund focused specifically on breakthrough technologies, notably fusion energy, that may require a decade or more to reach commercial fruition. It provides patient capital to frontier climate solutions.</t>
  </si>
  <si>
    <t>Venture Capital (Frontier Tech)</t>
  </si>
  <si>
    <t>Long-horizon venture returns (moonshot, 20%+ potential)</t>
  </si>
  <si>
    <t>Climate moonshots (fusion, frontier tech)</t>
  </si>
  <si>
    <t>A main fund strategy investing in inflection- and growth-stage companies across the clean energy value chain. It provides expansion capital aiming for mid-teen IRRs by scaling up businesses that help decarbonize the energy and transportation sectors.</t>
  </si>
  <si>
    <t>Growth Equity (Climate Solutions)</t>
  </si>
  <si>
    <t>Growth equity returns (~15% IRR)</t>
  </si>
  <si>
    <t>Energy transition / Grid modernization</t>
  </si>
  <si>
    <t>An early-stage venture fund investing in revolutionary climate technologies at the pre-seed to Series A stage. It targets breakthrough innovations that could enable deep decarbonization and embraces higher technology risk.</t>
  </si>
  <si>
    <t>Venture Capital (Climate Solutions)</t>
  </si>
  <si>
    <t>Climate tech / Early-stage innovation</t>
  </si>
  <si>
    <t>A private equity firm specializing in industrial decarbonization, acquiring mid-market companies and transforming their operations to be low-carbon. It targets private-equity-level returns while achieving significant CO₂ reductions.</t>
  </si>
  <si>
    <t>Private Equity (Industrial Decarbonization)</t>
  </si>
  <si>
    <t>Private equity returns (~20%+ IRR)</t>
  </si>
  <si>
    <t>Industrial decarbonization</t>
  </si>
  <si>
    <t>A European mid-market private equity strategy entirely driven by environmental sustainability themes. It invests in niche SMEs improving resource efficiency or pollution control, leveraging environmental megatrends.</t>
  </si>
  <si>
    <t>Private Equity (Sustainability)</t>
  </si>
  <si>
    <t>Europe</t>
  </si>
  <si>
    <t>Private equity returns (~15-20% IRR)</t>
  </si>
  <si>
    <t>Resource efficiency / Pollution control</t>
  </si>
  <si>
    <t>A growth equity fund focusing on technology-enabled businesses delivering positive environmental or social impact. It invests in high-growth companies in sectors such as digital health, green consumer products, and educational technology.</t>
  </si>
  <si>
    <t>Growth Equity (Impact Tech)</t>
  </si>
  <si>
    <t>Growth equity returns (~15%+ IRR)</t>
  </si>
  <si>
    <t>Social impact / Health, education, circular economy</t>
  </si>
  <si>
    <t>A sustainable real assets investment strategy focused on U.S. farmland and timberland. It acquires and actively manages agricultural and forest lands in climate-resilient regions, implementing regenerative practices.</t>
  </si>
  <si>
    <t>Real Assets (Farmland, Timberland)</t>
  </si>
  <si>
    <t>Real asset yields + appreciation (~8-10%)</t>
  </si>
  <si>
    <t>Sustainable land management (farmland, timber)</t>
  </si>
  <si>
    <t>A real asset manager investing in working forests with an emphasis on ecological stewardship and community benefit. Its funds generate returns from sustainable timber harvests, carbon credits, and conservation projects.</t>
  </si>
  <si>
    <t>Timber/forest returns (~6-8% IRR + carbon upside)</t>
  </si>
  <si>
    <t>Sustainable forestry / Climate resilience</t>
  </si>
  <si>
    <t>A private fund series investing in sustainable real assets to capitalize on the global transition to sustainability. It targets assets across energy, transportation, agriculture, and waste-to-value facilities.</t>
  </si>
  <si>
    <t>Sustainable Infrastructure / Real Assets</t>
  </si>
  <si>
    <t>Private equity-like real asset returns (~10-15% IRR)</t>
  </si>
  <si>
    <t>Sustainable infrastructure / Resource efficiency</t>
  </si>
  <si>
    <t>A venture capital strategy investing in inclusive fintech startups in emerging markets. It provides capital to companies expanding access to financial services such as digital payments and SME lending platforms.</t>
  </si>
  <si>
    <t>Venture Capital (Inclusive Fintech)</t>
  </si>
  <si>
    <t>Financial inclusion / Fintech (EM)</t>
  </si>
  <si>
    <t>A private equity growth fund focusing on the financial services and fintech sector in Africa and South Asia. It invests in banks, payment processors, insurance providers, and fintech platforms tapping into digital finance growth.</t>
  </si>
  <si>
    <t>Private Equity (Fintech EM)</t>
  </si>
  <si>
    <t>Growth equity EM returns (~20% IRR)</t>
  </si>
  <si>
    <t>Financial inclusion / Fintech (Africa, South Asia)</t>
  </si>
  <si>
    <t>An alternative investment fund specializing in impact-oriented litigation finance. It funds lawsuits with potential to generate positive societal outcomes while yielding financial returns from legal settlements or judgments.</t>
  </si>
  <si>
    <t>Litigation Finance / Alternatives</t>
  </si>
  <si>
    <t>Litigation finance, mid-teens (~12-18%)</t>
  </si>
  <si>
    <t>Access to justice / Social equity</t>
  </si>
  <si>
    <t>The flagship private equity funds of The Vistria Group, executing middle-market buyouts in healthcare, education, and financial services sectors. It seeks alpha by improving and scaling mission-driven companies delivering essential services.</t>
  </si>
  <si>
    <t>Private Equity (Healthcare, Education, Finance)</t>
  </si>
  <si>
    <t>Private equity returns (~20% IRR)</t>
  </si>
  <si>
    <t>Essential services / Healthcare, education, finance</t>
  </si>
  <si>
    <t>A venture capital fund investing in early-stage companies that advance economic inclusion and opportunity for people with disabilities. It targets startups developing assistive technologies and inclusive platforms.</t>
  </si>
  <si>
    <t>Venture Capital (Disability Inclusion)</t>
  </si>
  <si>
    <t>Disability inclusion / Assistive technology</t>
  </si>
  <si>
    <t>An early-stage venture capital firm investing in startups founded by women and minority entrepreneurs in the United States. It focuses on Seed and Series A rounds across multiple industries.</t>
  </si>
  <si>
    <t>Venture Capital (Diverse Founders)</t>
  </si>
  <si>
    <t>Diversity &amp; equity / Underrepresented founders</t>
  </si>
  <si>
    <t>A venture capital fund backing mission-driven entrepreneurs building technology and services to uplift economically marginalized communities in America. It invests in early-stage companies across fintech, digital health, and future of work platforms.</t>
  </si>
  <si>
    <t>Venture Capital (Impact Tech)</t>
  </si>
  <si>
    <t>Community empowerment / Diverse entrepreneurs</t>
  </si>
  <si>
    <t xml:space="preserve">TAX </t>
  </si>
  <si>
    <t>STRUCTURE</t>
  </si>
  <si>
    <t>ASSET CLASS</t>
  </si>
  <si>
    <t>GEOGRAPHY</t>
  </si>
  <si>
    <t>LIQUIDITY</t>
  </si>
  <si>
    <t>IMPACT THEME</t>
  </si>
  <si>
    <t>Public Equity Limited Partnership</t>
  </si>
  <si>
    <t>RETURN TARGET</t>
  </si>
  <si>
    <t>Nia Impact Solutions Fund (NIAGX)</t>
  </si>
  <si>
    <t>Closed-end GP/LP fund (10+ year lockup)</t>
  </si>
  <si>
    <t>Monthly liquidity</t>
  </si>
  <si>
    <t>Evergreen, semi-liquid (monthly)</t>
  </si>
  <si>
    <t>Focus on lending to companies or individuals whose business models are tied to measurable social and/or environmental positive outcomes. Diversified portfolio across themes: Energy Transition, Community Infrastructure, Economic Empowerment, Health. Investing in megatrends with potential to deliver differentiated alpha over the longer-term</t>
  </si>
  <si>
    <t>Core+ infrastructure, stable cash yield + appreciation (~10-12%)</t>
  </si>
  <si>
    <t>Global Equities (Social)</t>
  </si>
  <si>
    <t>PIMCO ESG Muni Ladder</t>
  </si>
  <si>
    <t>PIMCO ESG Corporate Ladder</t>
  </si>
  <si>
    <t>Fixed Income - Municipal</t>
  </si>
  <si>
    <t>Fixed Income - Corporate</t>
  </si>
  <si>
    <t>Stable income, low volatility (~3-5%)</t>
  </si>
  <si>
    <t>A custom laddered fixed-income portfolio managed by PIMCO, investing in high-quality ESG-screened municipal bonds to generate stable, tax-advantaged income. The laddered maturity structure staggers bond maturities to preserve capital and manage interest rate risk, offering low volatility and reliable cash flows for institutional investors.</t>
  </si>
  <si>
    <t>A custom laddered fixed-income portfolio managed by PIMCO, investing in high-quality ESG-screened corporate bonds to generate stable income. The laddered maturity structure staggers bond maturities to preserve capital and manage interest rate risk, offering low volatility and reliable cash flows for institutional investors.</t>
  </si>
  <si>
    <t>ROLE</t>
  </si>
  <si>
    <t>Target</t>
  </si>
  <si>
    <t>Catalytic</t>
  </si>
  <si>
    <t>SIZING</t>
  </si>
  <si>
    <t>1-2%</t>
  </si>
  <si>
    <t>Aperio ESG Screened SMA</t>
  </si>
  <si>
    <t>Xponance ESG Screened SMA</t>
  </si>
  <si>
    <t>A separately managed account strategy implementing a rules-based equity portfolio with customized ESG screens. Aperio constructs a broad market index replication and excludes or underweights companies that fail the client’s ESG criteria, maintaining similar sector exposures and risk/return profile.</t>
  </si>
  <si>
    <t>A separately managed account strategy implementing a rules-based equity portfolio with customized ESG screens. Xponance constructs a broad market index replication and excludes or underweights companies that fail the client’s ESG criteria, maintaining similar sector exposures and risk/return profile.</t>
  </si>
  <si>
    <t>10-40%</t>
  </si>
  <si>
    <t>5-15%</t>
  </si>
  <si>
    <t>3-6%</t>
  </si>
  <si>
    <t>Notes, 3–10 year terms, illiquid until maturity</t>
  </si>
  <si>
    <t>Greenbacker GREC-2 (needs replacement)</t>
  </si>
  <si>
    <t>Drawdown Fund</t>
  </si>
  <si>
    <t>MG</t>
  </si>
  <si>
    <t>Best Ideas</t>
  </si>
  <si>
    <t>100% Impact</t>
  </si>
  <si>
    <t>Climate</t>
  </si>
  <si>
    <t>Social</t>
  </si>
  <si>
    <t>iShares MSCI ACWI ETF</t>
  </si>
  <si>
    <t>Cyclical</t>
  </si>
  <si>
    <t>Defensive</t>
  </si>
  <si>
    <t>Sensitive</t>
  </si>
  <si>
    <t>Growth</t>
  </si>
  <si>
    <t>Core</t>
  </si>
  <si>
    <t>Value</t>
  </si>
  <si>
    <t>Large</t>
  </si>
  <si>
    <t>Mid</t>
  </si>
  <si>
    <t>Small</t>
  </si>
  <si>
    <t>US</t>
  </si>
  <si>
    <t>Canada</t>
  </si>
  <si>
    <t>UK</t>
  </si>
  <si>
    <t>Europe Dev</t>
  </si>
  <si>
    <t>Europe EM</t>
  </si>
  <si>
    <t>Japan</t>
  </si>
  <si>
    <t>Asia Dev</t>
  </si>
  <si>
    <t>Aust</t>
  </si>
  <si>
    <t>Asia EM</t>
  </si>
  <si>
    <t>Africa ME</t>
  </si>
  <si>
    <t>Latam</t>
  </si>
  <si>
    <t>Materials</t>
  </si>
  <si>
    <t>Comm Svcs</t>
  </si>
  <si>
    <t>Cons Cyclical</t>
  </si>
  <si>
    <t>Cons Defensive</t>
  </si>
  <si>
    <t>Healthcare</t>
  </si>
  <si>
    <t>Industrials</t>
  </si>
  <si>
    <t>Technology</t>
  </si>
  <si>
    <t>Energy</t>
  </si>
  <si>
    <t>Financials</t>
  </si>
  <si>
    <t>Utilities</t>
  </si>
  <si>
    <t>Alphabet</t>
  </si>
  <si>
    <t>Amazon</t>
  </si>
  <si>
    <t>Apple</t>
  </si>
  <si>
    <t>Meta</t>
  </si>
  <si>
    <t>Microsoft</t>
  </si>
  <si>
    <t>Nvidia</t>
  </si>
  <si>
    <t>Tesla</t>
  </si>
  <si>
    <t>Adasina Social Justice All Cp Glbl ETF</t>
  </si>
  <si>
    <t>Parnassus Core Equity Institutional</t>
  </si>
  <si>
    <t>Boston Common ESG Impact US Equity</t>
  </si>
  <si>
    <t>Impact Shares NAACP Minority Empwrmt ETF</t>
  </si>
  <si>
    <t>Brown Advisory Sustainable Growth I</t>
  </si>
  <si>
    <t>Nia Impact Solutions Proforma</t>
  </si>
  <si>
    <t>Fundsmith Sustainable Equity Fund (IWEF)</t>
  </si>
  <si>
    <t>ValueAct Capital Partners II, LP</t>
  </si>
  <si>
    <t>Generation Global Equity (IWEF)</t>
  </si>
  <si>
    <t>Vanguard Global ESG Select Stk Admiral</t>
  </si>
  <si>
    <t>iShares Paris-Algnd Clmt Optd MSCIUSAETF</t>
  </si>
  <si>
    <t>iSharesParis-AlgndClmOptdMSCIWldexUSAETF</t>
  </si>
  <si>
    <t>Matthews Emerging Markets Sust Fut Inst</t>
  </si>
  <si>
    <t>Galvanize Global Equities, LP</t>
  </si>
  <si>
    <t>EIU QP Holdings</t>
  </si>
  <si>
    <t>Global Alpha Fund, LP Holdings</t>
  </si>
  <si>
    <t>Janus Henderson Global Sust Eq I</t>
  </si>
  <si>
    <t>iShares ESG Aware MSCI USA ETF</t>
  </si>
  <si>
    <t>iShares Core S&amp;P Total US Stock Mkt ETF</t>
  </si>
  <si>
    <t>Artisan International Value Instl</t>
  </si>
  <si>
    <t>GQG Partners Global Quality Equity Instl</t>
  </si>
  <si>
    <t>GQG Partners Emerging Markets EquityInst</t>
  </si>
  <si>
    <t>First Trust WCM International Equity ETF</t>
  </si>
  <si>
    <t>Pacific NoS Global EM Equity Active ETF</t>
  </si>
  <si>
    <t>FT Energy Income Partners Strategy ETF</t>
  </si>
  <si>
    <t>1099</t>
  </si>
  <si>
    <t>AGGREGATE</t>
  </si>
  <si>
    <t>Re-Envision - GRID 202</t>
  </si>
  <si>
    <t>North America</t>
  </si>
  <si>
    <t>Dev Europe &amp; UK</t>
  </si>
  <si>
    <t>GEM</t>
  </si>
  <si>
    <t>Dev Asia &amp; Australia &amp; Japan</t>
  </si>
  <si>
    <t>Name</t>
  </si>
  <si>
    <t>MSCI ACWI</t>
  </si>
  <si>
    <t>Cumulative</t>
  </si>
  <si>
    <t>Returns</t>
  </si>
  <si>
    <t>Differences</t>
  </si>
  <si>
    <t>Rolling 12 Month TE</t>
  </si>
  <si>
    <t>Rolling 3 Year Excess Return</t>
  </si>
  <si>
    <t>Apis &amp; Heritage</t>
  </si>
  <si>
    <t>Litigation Finance (Aristata)</t>
  </si>
  <si>
    <t>Founders First</t>
  </si>
  <si>
    <t>Social Impact Private Equity (Vistria, Lumos)</t>
  </si>
  <si>
    <t>Healthcare (EQT LS 8 Dementia)</t>
  </si>
  <si>
    <r>
      <t xml:space="preserve">Catalytic Equity </t>
    </r>
    <r>
      <rPr>
        <b/>
        <sz val="8"/>
        <color theme="0"/>
        <rFont val="Arial Nova Light"/>
        <family val="2"/>
        <scheme val="minor"/>
      </rPr>
      <t>(with proceeds taken from Growth)</t>
    </r>
  </si>
  <si>
    <r>
      <t>Catalytic Debt</t>
    </r>
    <r>
      <rPr>
        <b/>
        <sz val="8"/>
        <color theme="0"/>
        <rFont val="Arial Nova Light"/>
        <family val="2"/>
        <scheme val="minor"/>
      </rPr>
      <t xml:space="preserve"> (with proceeds taken from Stability)</t>
    </r>
  </si>
  <si>
    <t>Impact World Equity Fund (GSE-Generation)</t>
  </si>
  <si>
    <t>Catalytic Debt (with proceeds taken from Stability)</t>
  </si>
  <si>
    <t>Catalytic Equity (with proceeds taken from Growth)</t>
  </si>
  <si>
    <t>CON</t>
  </si>
  <si>
    <t>BAL</t>
  </si>
  <si>
    <t>GRO</t>
  </si>
  <si>
    <t>LTG</t>
  </si>
  <si>
    <t>PE Budget:</t>
  </si>
  <si>
    <t>Cash Req:</t>
  </si>
  <si>
    <t>Catalytic Debt:</t>
  </si>
  <si>
    <t>Catalytic Equity:</t>
  </si>
  <si>
    <t>Social Impact VC (Enable, Harlem)</t>
  </si>
  <si>
    <t>-</t>
  </si>
  <si>
    <t>Global Alpha Fund (sub directs for T/E clients)</t>
  </si>
  <si>
    <t>Vintages</t>
  </si>
  <si>
    <t>Direct</t>
  </si>
  <si>
    <t>Financial Inclusion &amp; HC(Quona, Apis, EQT)</t>
  </si>
  <si>
    <t>GIO (1/3 per vintage)</t>
  </si>
  <si>
    <t>PEP (1/3 per vintage)</t>
  </si>
  <si>
    <t>TBD - Variant</t>
  </si>
  <si>
    <t>1099 Only</t>
  </si>
  <si>
    <t>TBD - Schroders or Macquarie</t>
  </si>
  <si>
    <t>Ares Core Infrastructure</t>
  </si>
  <si>
    <t>BlueBox Global Technology</t>
  </si>
  <si>
    <t>Galvanize Global Equity UCIT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</si>
</sst>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0.0%"/>
    <numFmt numFmtId="165" formatCode="_(* #,##0.0_);_(* \(#,##0.0\);_(* &quot;-&quot;??_);_(@_)"/>
    <numFmt numFmtId="166" formatCode="_(* #,##0_);_(* \(#,##0\);_(* &quot;-&quot;??_);_(@_)"/>
    <numFmt numFmtId="167" formatCode="_(* #,##0.000_);_(* \(#,##0.000\);_(* &quot;-&quot;??_);_(@_)"/>
  </numFmts>
  <fonts count="61" x14ac:knownFonts="1">
    <font>
      <sz val="11"/>
      <color theme="1"/>
      <name val="Arial Nova Light"/>
      <family val="2"/>
      <scheme val="minor"/>
    </font>
    <font>
      <sz val="11"/>
      <color theme="1"/>
      <name val="Arial Nova Light"/>
      <family val="2"/>
      <scheme val="minor"/>
    </font>
    <font>
      <sz val="10"/>
      <name val="Arial"/>
      <family val="2"/>
    </font>
    <font>
      <sz val="8"/>
      <name val="Arial Nova Light"/>
      <family val="2"/>
      <scheme val="minor"/>
    </font>
    <font>
      <sz val="8"/>
      <color theme="1"/>
      <name val="Arial Nova Light"/>
      <family val="2"/>
      <scheme val="minor"/>
    </font>
    <font>
      <b/>
      <sz val="10"/>
      <color theme="1"/>
      <name val="Arial Nova Light"/>
      <family val="2"/>
      <scheme val="minor"/>
    </font>
    <font>
      <sz val="10"/>
      <color theme="1"/>
      <name val="Arial Nova Light"/>
      <family val="2"/>
      <scheme val="minor"/>
    </font>
    <font>
      <b/>
      <sz val="12"/>
      <color theme="6" tint="-0.249977111117893"/>
      <name val="Arial Nova Light"/>
      <family val="2"/>
      <scheme val="minor"/>
    </font>
    <font>
      <sz val="12"/>
      <color theme="1"/>
      <name val="Arial Nova Light"/>
      <family val="2"/>
      <scheme val="minor"/>
    </font>
    <font>
      <b/>
      <sz val="12"/>
      <color theme="5"/>
      <name val="Arial Nova Light"/>
      <family val="2"/>
      <scheme val="minor"/>
    </font>
    <font>
      <b/>
      <sz val="12"/>
      <color theme="6"/>
      <name val="Arial Nova Light"/>
      <family val="2"/>
      <scheme val="minor"/>
    </font>
    <font>
      <b/>
      <sz val="12"/>
      <color theme="4" tint="-0.249977111117893"/>
      <name val="Arial Nova Light"/>
      <family val="2"/>
      <scheme val="minor"/>
    </font>
    <font>
      <b/>
      <sz val="12"/>
      <color theme="8"/>
      <name val="Arial Nova Light"/>
      <family val="2"/>
      <scheme val="minor"/>
    </font>
    <font>
      <b/>
      <sz val="10"/>
      <name val="Arial Nova Light"/>
      <family val="2"/>
      <scheme val="minor"/>
    </font>
    <font>
      <sz val="10"/>
      <name val="Arial Nova Light"/>
      <family val="2"/>
      <scheme val="minor"/>
    </font>
    <font>
      <sz val="10"/>
      <color theme="4"/>
      <name val="Arial Nova Light"/>
      <family val="2"/>
      <scheme val="minor"/>
    </font>
    <font>
      <b/>
      <sz val="10"/>
      <color theme="0"/>
      <name val="Arial Nova Light"/>
      <family val="2"/>
      <scheme val="minor"/>
    </font>
    <font>
      <sz val="10"/>
      <color theme="0"/>
      <name val="Arial Nova Light"/>
      <family val="2"/>
      <scheme val="minor"/>
    </font>
    <font>
      <sz val="10"/>
      <color theme="1"/>
      <name val="Arial Nova Light"/>
      <family val="2"/>
    </font>
    <font>
      <sz val="10"/>
      <name val="Arial Nova Light"/>
      <family val="2"/>
    </font>
    <font>
      <b/>
      <sz val="10"/>
      <color rgb="FFC00000"/>
      <name val="Arial Nova Light"/>
      <family val="2"/>
      <scheme val="minor"/>
    </font>
    <font>
      <sz val="11"/>
      <name val="Arial Nova Light"/>
      <family val="2"/>
      <scheme val="minor"/>
    </font>
    <font>
      <b/>
      <sz val="10"/>
      <color theme="5"/>
      <name val="Arial Nova Light"/>
      <family val="2"/>
      <scheme val="minor"/>
    </font>
    <font>
      <b/>
      <sz val="10"/>
      <color theme="5"/>
      <name val="Arial Nova Light"/>
      <family val="2"/>
    </font>
    <font>
      <b/>
      <sz val="10"/>
      <color theme="6" tint="-0.249977111117893"/>
      <name val="Arial Nova Light"/>
      <family val="2"/>
      <scheme val="minor"/>
    </font>
    <font>
      <b/>
      <sz val="10"/>
      <color theme="6"/>
      <name val="Arial Nova Light"/>
      <family val="2"/>
      <scheme val="minor"/>
    </font>
    <font>
      <b/>
      <sz val="10"/>
      <color theme="4" tint="-0.249977111117893"/>
      <name val="Arial Nova Light"/>
      <family val="2"/>
      <scheme val="minor"/>
    </font>
    <font>
      <b/>
      <sz val="10"/>
      <color theme="8"/>
      <name val="Arial Nova Light"/>
      <family val="2"/>
      <scheme val="minor"/>
    </font>
    <font>
      <sz val="10"/>
      <color rgb="FF333333"/>
      <name val="Arial"/>
      <family val="2"/>
    </font>
    <font>
      <b/>
      <sz val="10"/>
      <color theme="9"/>
      <name val="Arial Nova Light"/>
      <family val="2"/>
      <scheme val="minor"/>
    </font>
    <font>
      <b/>
      <sz val="10"/>
      <color theme="6" tint="-0.499984740745262"/>
      <name val="Arial Nova Light"/>
      <family val="2"/>
      <scheme val="minor"/>
    </font>
    <font>
      <b/>
      <sz val="10"/>
      <color theme="5" tint="-0.249977111117893"/>
      <name val="Arial Nova Light"/>
      <family val="2"/>
      <scheme val="minor"/>
    </font>
    <font>
      <b/>
      <sz val="10"/>
      <color rgb="FFFF0000"/>
      <name val="Arial Nova Light"/>
      <family val="2"/>
      <scheme val="minor"/>
    </font>
    <font>
      <b/>
      <sz val="8"/>
      <color theme="1"/>
      <name val="Arial Nova Light"/>
      <family val="2"/>
      <scheme val="minor"/>
    </font>
    <font>
      <b/>
      <sz val="10"/>
      <color theme="1"/>
      <name val="Aptos"/>
      <family val="2"/>
    </font>
    <font>
      <sz val="10"/>
      <color theme="1"/>
      <name val="Aptos"/>
      <family val="2"/>
    </font>
    <font>
      <sz val="10"/>
      <name val="Aptos"/>
      <family val="2"/>
    </font>
    <font>
      <b/>
      <sz val="10"/>
      <color theme="5"/>
      <name val="Aptos"/>
      <family val="2"/>
    </font>
    <font>
      <b/>
      <sz val="10"/>
      <color theme="6" tint="-0.249977111117893"/>
      <name val="Aptos"/>
      <family val="2"/>
    </font>
    <font>
      <b/>
      <sz val="10"/>
      <color theme="6"/>
      <name val="Aptos"/>
      <family val="2"/>
    </font>
    <font>
      <b/>
      <sz val="10"/>
      <color theme="4" tint="-0.249977111117893"/>
      <name val="Aptos"/>
      <family val="2"/>
    </font>
    <font>
      <b/>
      <sz val="10"/>
      <color theme="8"/>
      <name val="Aptos"/>
      <family val="2"/>
    </font>
    <font>
      <b/>
      <sz val="10"/>
      <color theme="9"/>
      <name val="Aptos"/>
      <family val="2"/>
    </font>
    <font>
      <b/>
      <sz val="8"/>
      <color rgb="FF000000"/>
      <name val="Aptos Narrow"/>
      <family val="2"/>
    </font>
    <font>
      <sz val="8"/>
      <color theme="1"/>
      <name val="Aptos Narrow"/>
      <family val="2"/>
    </font>
    <font>
      <b/>
      <sz val="10"/>
      <color rgb="FFFF0000"/>
      <name val="Arial Nova Light"/>
      <family val="2"/>
    </font>
    <font>
      <b/>
      <sz val="8"/>
      <color theme="0"/>
      <name val="Arial Nova Light"/>
      <family val="2"/>
      <scheme val="minor"/>
    </font>
    <font>
      <i/>
      <sz val="9"/>
      <color theme="1"/>
      <name val="Arial Nova Light"/>
      <family val="2"/>
      <scheme val="minor"/>
    </font>
    <font>
      <b/>
      <i/>
      <sz val="9"/>
      <color theme="6"/>
      <name val="Arial Nova Light"/>
      <family val="2"/>
      <scheme val="minor"/>
    </font>
    <font>
      <sz val="9"/>
      <color theme="1"/>
      <name val="Arial Nova Light"/>
      <family val="2"/>
      <scheme val="minor"/>
    </font>
    <font>
      <b/>
      <sz val="9"/>
      <name val="Arial Nova Light"/>
      <family val="2"/>
      <scheme val="minor"/>
    </font>
    <font>
      <b/>
      <sz val="9"/>
      <color theme="1"/>
      <name val="Arial Nova Light"/>
      <family val="2"/>
      <scheme val="minor"/>
    </font>
    <font>
      <b/>
      <sz val="9"/>
      <color theme="0"/>
      <name val="Arial Nova Light"/>
      <family val="2"/>
      <scheme val="minor"/>
    </font>
    <font>
      <sz val="9"/>
      <color theme="0"/>
      <name val="Arial Nova Light"/>
      <family val="2"/>
      <scheme val="minor"/>
    </font>
    <font>
      <sz val="9"/>
      <name val="Arial Nova Light"/>
      <family val="2"/>
      <scheme val="minor"/>
    </font>
    <font>
      <sz val="9"/>
      <color theme="1"/>
      <name val="Arial Nova Light"/>
      <family val="2"/>
    </font>
    <font>
      <b/>
      <sz val="9"/>
      <color theme="5"/>
      <name val="Arial Nova Light"/>
      <family val="2"/>
      <scheme val="minor"/>
    </font>
    <font>
      <b/>
      <i/>
      <sz val="9"/>
      <color theme="5"/>
      <name val="Arial Nova Light"/>
      <family val="2"/>
      <scheme val="minor"/>
    </font>
    <font>
      <b/>
      <i/>
      <sz val="10"/>
      <color theme="5"/>
      <name val="Arial Nova Light"/>
      <family val="2"/>
      <scheme val="minor"/>
    </font>
    <font>
      <b/>
      <sz val="8"/>
      <color theme="1"/>
      <name val="Aptos Narrow"/>
      <family val="2"/>
    </font>
    <font>
      <b/>
      <sz val="8"/>
      <name val="Aptos Narrow"/>
      <family val="2"/>
    </font>
  </fonts>
  <fills count="13">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bgColor indexed="64"/>
      </patternFill>
    </fill>
    <fill>
      <patternFill patternType="solid">
        <fgColor theme="8"/>
        <bgColor indexed="64"/>
      </patternFill>
    </fill>
    <fill>
      <patternFill patternType="solid">
        <fgColor theme="6"/>
        <bgColor indexed="64"/>
      </patternFill>
    </fill>
    <fill>
      <patternFill patternType="solid">
        <fgColor theme="6" tint="-0.249977111117893"/>
        <bgColor indexed="64"/>
      </patternFill>
    </fill>
    <fill>
      <patternFill patternType="solid">
        <fgColor theme="6" tint="-0.499984740745262"/>
        <bgColor indexed="64"/>
      </patternFill>
    </fill>
    <fill>
      <patternFill patternType="solid">
        <fgColor theme="9"/>
        <bgColor indexed="64"/>
      </patternFill>
    </fill>
    <fill>
      <patternFill patternType="solid">
        <fgColor rgb="FFFFFF00"/>
        <bgColor indexed="64"/>
      </patternFill>
    </fill>
    <fill>
      <patternFill patternType="solid">
        <fgColor rgb="FFFFC000"/>
        <bgColor indexed="64"/>
      </patternFill>
    </fill>
    <fill>
      <patternFill patternType="solid">
        <fgColor theme="7" tint="-0.499984740745262"/>
        <bgColor indexed="64"/>
      </patternFill>
    </fill>
  </fills>
  <borders count="4">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s>
  <cellStyleXfs count="12">
    <xf numFmtId="0" fontId="0" fillId="0" borderId="0"/>
    <xf numFmtId="0" fontId="2" fillId="0" borderId="0"/>
    <xf numFmtId="0" fontId="1" fillId="0" borderId="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0" fontId="1" fillId="0" borderId="0"/>
    <xf numFmtId="9" fontId="8" fillId="0" borderId="0" applyFont="0" applyFill="0" applyBorder="0" applyAlignment="0" applyProtection="0"/>
    <xf numFmtId="0" fontId="8" fillId="0" borderId="0"/>
    <xf numFmtId="43" fontId="1" fillId="0" borderId="0" applyFont="0" applyFill="0" applyBorder="0" applyAlignment="0" applyProtection="0"/>
    <xf numFmtId="9" fontId="1" fillId="0" borderId="0" applyFont="0" applyFill="0" applyBorder="0" applyAlignment="0" applyProtection="0"/>
  </cellStyleXfs>
  <cellXfs count="282">
    <xf numFmtId="0" fontId="0" fillId="0" borderId="0" xfId="0"/>
    <xf numFmtId="0" fontId="5" fillId="0" borderId="1" xfId="6" applyFont="1" applyBorder="1"/>
    <xf numFmtId="0" fontId="6" fillId="0" borderId="1" xfId="6" applyFont="1" applyBorder="1"/>
    <xf numFmtId="0" fontId="7" fillId="0" borderId="1" xfId="7" applyFont="1" applyBorder="1" applyAlignment="1">
      <alignment horizontal="center" vertical="center" wrapText="1"/>
    </xf>
    <xf numFmtId="164" fontId="7" fillId="0" borderId="1" xfId="8" applyNumberFormat="1" applyFont="1" applyBorder="1" applyAlignment="1">
      <alignment horizontal="center" vertical="center" wrapText="1"/>
    </xf>
    <xf numFmtId="0" fontId="7" fillId="3" borderId="1" xfId="7" applyFont="1" applyFill="1" applyBorder="1" applyAlignment="1">
      <alignment horizontal="center" vertical="center" wrapText="1"/>
    </xf>
    <xf numFmtId="0" fontId="9" fillId="0" borderId="1" xfId="7" applyFont="1" applyBorder="1" applyAlignment="1">
      <alignment horizontal="center" vertical="center" wrapText="1"/>
    </xf>
    <xf numFmtId="0" fontId="10" fillId="3" borderId="1" xfId="7" applyFont="1" applyFill="1" applyBorder="1" applyAlignment="1">
      <alignment horizontal="center" vertical="center" wrapText="1"/>
    </xf>
    <xf numFmtId="0" fontId="11" fillId="0" borderId="1" xfId="7" applyFont="1" applyBorder="1" applyAlignment="1">
      <alignment horizontal="center" vertical="center" wrapText="1"/>
    </xf>
    <xf numFmtId="0" fontId="11" fillId="3" borderId="1" xfId="7" applyFont="1" applyFill="1" applyBorder="1" applyAlignment="1">
      <alignment horizontal="center" vertical="center" wrapText="1"/>
    </xf>
    <xf numFmtId="0" fontId="12" fillId="0" borderId="1" xfId="7" applyFont="1" applyBorder="1" applyAlignment="1">
      <alignment horizontal="center" vertical="center" wrapText="1"/>
    </xf>
    <xf numFmtId="164" fontId="5" fillId="0" borderId="1" xfId="8" applyNumberFormat="1" applyFont="1" applyBorder="1"/>
    <xf numFmtId="0" fontId="6" fillId="0" borderId="0" xfId="6" applyFont="1"/>
    <xf numFmtId="9" fontId="13" fillId="4" borderId="0" xfId="8" applyFont="1" applyFill="1" applyAlignment="1">
      <alignment horizontal="left" vertical="center" readingOrder="1"/>
    </xf>
    <xf numFmtId="9" fontId="6" fillId="4" borderId="0" xfId="8" applyFont="1" applyFill="1"/>
    <xf numFmtId="9" fontId="5" fillId="4" borderId="0" xfId="8" applyFont="1" applyFill="1"/>
    <xf numFmtId="9" fontId="6" fillId="3" borderId="0" xfId="8" applyFont="1" applyFill="1"/>
    <xf numFmtId="9" fontId="6" fillId="0" borderId="0" xfId="8" applyFont="1"/>
    <xf numFmtId="0" fontId="5" fillId="3" borderId="0" xfId="6" applyFont="1" applyFill="1"/>
    <xf numFmtId="0" fontId="6" fillId="3" borderId="0" xfId="6" applyFont="1" applyFill="1"/>
    <xf numFmtId="0" fontId="6" fillId="3" borderId="0" xfId="7" applyFont="1" applyFill="1"/>
    <xf numFmtId="164" fontId="6" fillId="3" borderId="0" xfId="8" applyNumberFormat="1" applyFont="1" applyFill="1"/>
    <xf numFmtId="0" fontId="14" fillId="3" borderId="0" xfId="7" applyFont="1" applyFill="1"/>
    <xf numFmtId="0" fontId="15" fillId="3" borderId="0" xfId="7" applyFont="1" applyFill="1"/>
    <xf numFmtId="164" fontId="14" fillId="3" borderId="0" xfId="8" applyNumberFormat="1" applyFont="1" applyFill="1"/>
    <xf numFmtId="0" fontId="14" fillId="3" borderId="0" xfId="6" applyFont="1" applyFill="1"/>
    <xf numFmtId="9" fontId="16" fillId="5" borderId="0" xfId="8" applyFont="1" applyFill="1" applyAlignment="1">
      <alignment horizontal="left" vertical="center" readingOrder="1"/>
    </xf>
    <xf numFmtId="9" fontId="17" fillId="5" borderId="0" xfId="8" applyFont="1" applyFill="1"/>
    <xf numFmtId="9" fontId="16" fillId="5" borderId="0" xfId="8" applyFont="1" applyFill="1"/>
    <xf numFmtId="9" fontId="17" fillId="3" borderId="0" xfId="8" applyFont="1" applyFill="1"/>
    <xf numFmtId="164" fontId="18" fillId="3" borderId="0" xfId="8" applyNumberFormat="1" applyFont="1" applyFill="1" applyBorder="1" applyAlignment="1">
      <alignment horizontal="right" vertical="center"/>
    </xf>
    <xf numFmtId="0" fontId="19" fillId="3" borderId="0" xfId="9" applyFont="1" applyFill="1" applyAlignment="1">
      <alignment horizontal="left" vertical="center"/>
    </xf>
    <xf numFmtId="0" fontId="14" fillId="3" borderId="0" xfId="6" applyFont="1" applyFill="1" applyAlignment="1">
      <alignment horizontal="left"/>
    </xf>
    <xf numFmtId="9" fontId="16" fillId="6" borderId="0" xfId="8" applyFont="1" applyFill="1" applyAlignment="1">
      <alignment horizontal="left" vertical="center" readingOrder="1"/>
    </xf>
    <xf numFmtId="9" fontId="17" fillId="6" borderId="0" xfId="8" applyFont="1" applyFill="1"/>
    <xf numFmtId="9" fontId="16" fillId="6" borderId="0" xfId="8" applyFont="1" applyFill="1"/>
    <xf numFmtId="0" fontId="14" fillId="0" borderId="0" xfId="6" applyFont="1"/>
    <xf numFmtId="164" fontId="6" fillId="0" borderId="0" xfId="8" applyNumberFormat="1" applyFont="1" applyFill="1"/>
    <xf numFmtId="9" fontId="16" fillId="7" borderId="0" xfId="8" applyFont="1" applyFill="1" applyAlignment="1">
      <alignment horizontal="left" vertical="center" readingOrder="1"/>
    </xf>
    <xf numFmtId="9" fontId="17" fillId="7" borderId="0" xfId="8" applyFont="1" applyFill="1"/>
    <xf numFmtId="9" fontId="16" fillId="7" borderId="0" xfId="8" applyFont="1" applyFill="1"/>
    <xf numFmtId="9" fontId="17" fillId="8" borderId="0" xfId="8" applyFont="1" applyFill="1"/>
    <xf numFmtId="9" fontId="13" fillId="2" borderId="0" xfId="8" applyFont="1" applyFill="1"/>
    <xf numFmtId="9" fontId="14" fillId="2" borderId="0" xfId="8" applyFont="1" applyFill="1"/>
    <xf numFmtId="9" fontId="13" fillId="3" borderId="0" xfId="8" applyFont="1" applyFill="1"/>
    <xf numFmtId="9" fontId="14" fillId="3" borderId="0" xfId="8" applyFont="1" applyFill="1"/>
    <xf numFmtId="0" fontId="16" fillId="9" borderId="0" xfId="6" applyFont="1" applyFill="1"/>
    <xf numFmtId="0" fontId="17" fillId="9" borderId="0" xfId="6" applyFont="1" applyFill="1"/>
    <xf numFmtId="9" fontId="16" fillId="9" borderId="0" xfId="8" applyFont="1" applyFill="1"/>
    <xf numFmtId="9" fontId="17" fillId="9" borderId="0" xfId="6" applyNumberFormat="1" applyFont="1" applyFill="1"/>
    <xf numFmtId="9" fontId="17" fillId="9" borderId="0" xfId="6" applyNumberFormat="1" applyFont="1" applyFill="1" applyAlignment="1">
      <alignment horizontal="left"/>
    </xf>
    <xf numFmtId="9" fontId="20" fillId="0" borderId="0" xfId="6" applyNumberFormat="1" applyFont="1" applyAlignment="1">
      <alignment horizontal="center"/>
    </xf>
    <xf numFmtId="164" fontId="5" fillId="0" borderId="0" xfId="8" applyNumberFormat="1" applyFont="1"/>
    <xf numFmtId="164" fontId="6" fillId="0" borderId="0" xfId="8" applyNumberFormat="1" applyFont="1"/>
    <xf numFmtId="0" fontId="5" fillId="0" borderId="0" xfId="6" applyFont="1"/>
    <xf numFmtId="9" fontId="16" fillId="3" borderId="0" xfId="8" applyFont="1" applyFill="1" applyAlignment="1">
      <alignment horizontal="left" vertical="center" readingOrder="1"/>
    </xf>
    <xf numFmtId="0" fontId="6" fillId="0" borderId="0" xfId="7" applyFont="1"/>
    <xf numFmtId="0" fontId="15" fillId="0" borderId="0" xfId="7" applyFont="1"/>
    <xf numFmtId="164" fontId="14" fillId="0" borderId="0" xfId="8" applyNumberFormat="1" applyFont="1" applyFill="1"/>
    <xf numFmtId="0" fontId="14" fillId="0" borderId="0" xfId="7" applyFont="1"/>
    <xf numFmtId="10" fontId="6" fillId="0" borderId="0" xfId="7" applyNumberFormat="1" applyFont="1"/>
    <xf numFmtId="10" fontId="6" fillId="0" borderId="0" xfId="8" applyNumberFormat="1" applyFont="1" applyFill="1"/>
    <xf numFmtId="10" fontId="6" fillId="0" borderId="0" xfId="6" applyNumberFormat="1" applyFont="1"/>
    <xf numFmtId="10" fontId="14" fillId="0" borderId="0" xfId="6" applyNumberFormat="1" applyFont="1"/>
    <xf numFmtId="164" fontId="5" fillId="0" borderId="1" xfId="8" applyNumberFormat="1" applyFont="1" applyFill="1" applyBorder="1"/>
    <xf numFmtId="9" fontId="5" fillId="0" borderId="0" xfId="8" applyFont="1" applyFill="1"/>
    <xf numFmtId="9" fontId="16" fillId="0" borderId="0" xfId="8" applyFont="1" applyFill="1"/>
    <xf numFmtId="164" fontId="18" fillId="0" borderId="0" xfId="8" applyNumberFormat="1" applyFont="1" applyFill="1" applyBorder="1" applyAlignment="1">
      <alignment horizontal="right" vertical="center"/>
    </xf>
    <xf numFmtId="0" fontId="14" fillId="0" borderId="0" xfId="6" applyFont="1" applyAlignment="1">
      <alignment horizontal="left"/>
    </xf>
    <xf numFmtId="9" fontId="13" fillId="0" borderId="0" xfId="8" applyFont="1" applyFill="1"/>
    <xf numFmtId="9" fontId="6" fillId="0" borderId="0" xfId="6" applyNumberFormat="1" applyFont="1"/>
    <xf numFmtId="164" fontId="5" fillId="0" borderId="0" xfId="8" applyNumberFormat="1" applyFont="1" applyFill="1"/>
    <xf numFmtId="0" fontId="21" fillId="0" borderId="0" xfId="6" applyFont="1"/>
    <xf numFmtId="0" fontId="22" fillId="3" borderId="0" xfId="6" applyFont="1" applyFill="1"/>
    <xf numFmtId="164" fontId="23" fillId="3" borderId="0" xfId="8" applyNumberFormat="1" applyFont="1" applyFill="1" applyBorder="1" applyAlignment="1">
      <alignment horizontal="right" vertical="center"/>
    </xf>
    <xf numFmtId="0" fontId="24" fillId="0" borderId="1" xfId="7" applyFont="1" applyBorder="1" applyAlignment="1">
      <alignment horizontal="center" vertical="center" wrapText="1"/>
    </xf>
    <xf numFmtId="164" fontId="24" fillId="0" borderId="1" xfId="8" applyNumberFormat="1" applyFont="1" applyBorder="1" applyAlignment="1">
      <alignment horizontal="center" vertical="center" wrapText="1"/>
    </xf>
    <xf numFmtId="0" fontId="24" fillId="3" borderId="1" xfId="7" applyFont="1" applyFill="1" applyBorder="1" applyAlignment="1">
      <alignment horizontal="center" vertical="center" wrapText="1"/>
    </xf>
    <xf numFmtId="0" fontId="22" fillId="0" borderId="1" xfId="7" applyFont="1" applyBorder="1" applyAlignment="1">
      <alignment horizontal="center" vertical="center" wrapText="1"/>
    </xf>
    <xf numFmtId="0" fontId="25" fillId="3" borderId="1" xfId="7" applyFont="1" applyFill="1" applyBorder="1" applyAlignment="1">
      <alignment horizontal="center" vertical="center" wrapText="1"/>
    </xf>
    <xf numFmtId="0" fontId="26" fillId="0" borderId="1" xfId="7" applyFont="1" applyBorder="1" applyAlignment="1">
      <alignment horizontal="center" vertical="center" wrapText="1"/>
    </xf>
    <xf numFmtId="0" fontId="26" fillId="3" borderId="1" xfId="7" applyFont="1" applyFill="1" applyBorder="1" applyAlignment="1">
      <alignment horizontal="center" vertical="center" wrapText="1"/>
    </xf>
    <xf numFmtId="0" fontId="27" fillId="0" borderId="1" xfId="7" applyFont="1" applyBorder="1" applyAlignment="1">
      <alignment horizontal="center" vertical="center" wrapText="1"/>
    </xf>
    <xf numFmtId="0" fontId="22" fillId="0" borderId="0" xfId="6" applyFont="1"/>
    <xf numFmtId="0" fontId="28" fillId="0" borderId="0" xfId="9" applyFont="1"/>
    <xf numFmtId="0" fontId="29" fillId="0" borderId="1" xfId="7" applyFont="1" applyBorder="1" applyAlignment="1">
      <alignment horizontal="center" vertical="center" wrapText="1"/>
    </xf>
    <xf numFmtId="0" fontId="22" fillId="3" borderId="0" xfId="7" applyFont="1" applyFill="1"/>
    <xf numFmtId="164" fontId="22" fillId="3" borderId="0" xfId="8" applyNumberFormat="1" applyFont="1" applyFill="1"/>
    <xf numFmtId="164" fontId="22" fillId="0" borderId="0" xfId="8" applyNumberFormat="1" applyFont="1" applyFill="1"/>
    <xf numFmtId="0" fontId="5" fillId="0" borderId="0" xfId="6" applyFont="1" applyAlignment="1">
      <alignment horizontal="center"/>
    </xf>
    <xf numFmtId="164" fontId="5" fillId="0" borderId="0" xfId="8" applyNumberFormat="1" applyFont="1" applyAlignment="1">
      <alignment horizontal="center"/>
    </xf>
    <xf numFmtId="0" fontId="5" fillId="3" borderId="0" xfId="6" applyFont="1" applyFill="1" applyAlignment="1">
      <alignment horizontal="center"/>
    </xf>
    <xf numFmtId="0" fontId="30" fillId="0" borderId="0" xfId="7" applyFont="1" applyAlignment="1">
      <alignment horizontal="center" vertical="center" wrapText="1"/>
    </xf>
    <xf numFmtId="0" fontId="30" fillId="3" borderId="0" xfId="7" applyFont="1" applyFill="1" applyAlignment="1">
      <alignment horizontal="center" vertical="center" wrapText="1"/>
    </xf>
    <xf numFmtId="0" fontId="31" fillId="0" borderId="0" xfId="7" applyFont="1" applyAlignment="1">
      <alignment horizontal="center" vertical="center" wrapText="1"/>
    </xf>
    <xf numFmtId="0" fontId="31" fillId="3" borderId="0" xfId="7" applyFont="1" applyFill="1" applyAlignment="1">
      <alignment horizontal="center" vertical="center" wrapText="1"/>
    </xf>
    <xf numFmtId="9" fontId="13" fillId="0" borderId="0" xfId="8" applyFont="1" applyFill="1" applyAlignment="1">
      <alignment horizontal="left" vertical="center" readingOrder="1"/>
    </xf>
    <xf numFmtId="164" fontId="14" fillId="0" borderId="0" xfId="6" applyNumberFormat="1" applyFont="1"/>
    <xf numFmtId="164" fontId="19" fillId="3" borderId="0" xfId="8" applyNumberFormat="1" applyFont="1" applyFill="1" applyBorder="1" applyAlignment="1">
      <alignment horizontal="right" vertical="center"/>
    </xf>
    <xf numFmtId="164" fontId="19" fillId="0" borderId="0" xfId="8" applyNumberFormat="1" applyFont="1" applyFill="1" applyBorder="1" applyAlignment="1">
      <alignment horizontal="right" vertical="center"/>
    </xf>
    <xf numFmtId="164" fontId="14" fillId="0" borderId="0" xfId="8" applyNumberFormat="1" applyFont="1" applyFill="1" applyBorder="1"/>
    <xf numFmtId="0" fontId="32" fillId="0" borderId="0" xfId="6" applyFont="1"/>
    <xf numFmtId="0" fontId="32" fillId="3" borderId="0" xfId="6" applyFont="1" applyFill="1"/>
    <xf numFmtId="164" fontId="14" fillId="3" borderId="0" xfId="8" applyNumberFormat="1" applyFont="1" applyFill="1" applyBorder="1"/>
    <xf numFmtId="0" fontId="19" fillId="0" borderId="0" xfId="9" applyFont="1" applyAlignment="1">
      <alignment horizontal="left" vertical="center"/>
    </xf>
    <xf numFmtId="164" fontId="16" fillId="5" borderId="0" xfId="8" applyNumberFormat="1" applyFont="1" applyFill="1"/>
    <xf numFmtId="164" fontId="16" fillId="6" borderId="0" xfId="8" applyNumberFormat="1" applyFont="1" applyFill="1"/>
    <xf numFmtId="164" fontId="16" fillId="7" borderId="0" xfId="8" applyNumberFormat="1" applyFont="1" applyFill="1"/>
    <xf numFmtId="164" fontId="16" fillId="9" borderId="0" xfId="8" applyNumberFormat="1" applyFont="1" applyFill="1"/>
    <xf numFmtId="0" fontId="33" fillId="0" borderId="0" xfId="0" applyFont="1" applyAlignment="1">
      <alignment vertical="center" wrapText="1"/>
    </xf>
    <xf numFmtId="0" fontId="4" fillId="0" borderId="0" xfId="0" applyFont="1" applyAlignment="1">
      <alignment vertical="center" wrapText="1"/>
    </xf>
    <xf numFmtId="0" fontId="4" fillId="0" borderId="0" xfId="6" applyFont="1" applyAlignment="1">
      <alignment vertical="center" wrapText="1"/>
    </xf>
    <xf numFmtId="0" fontId="4" fillId="0" borderId="0" xfId="0" applyFont="1" applyAlignment="1">
      <alignment horizontal="center" vertical="center" wrapText="1"/>
    </xf>
    <xf numFmtId="0" fontId="33" fillId="0" borderId="0" xfId="0" applyFont="1" applyAlignment="1">
      <alignment horizontal="center" wrapText="1"/>
    </xf>
    <xf numFmtId="0" fontId="4" fillId="0" borderId="0" xfId="0" applyFont="1" applyAlignment="1">
      <alignment horizontal="center" wrapText="1"/>
    </xf>
    <xf numFmtId="9" fontId="4" fillId="0" borderId="0" xfId="0" applyNumberFormat="1" applyFont="1" applyAlignment="1">
      <alignment horizontal="center" wrapText="1"/>
    </xf>
    <xf numFmtId="164" fontId="24" fillId="3" borderId="1" xfId="8" applyNumberFormat="1" applyFont="1" applyFill="1" applyBorder="1" applyAlignment="1">
      <alignment horizontal="center" vertical="center" wrapText="1"/>
    </xf>
    <xf numFmtId="164" fontId="5" fillId="3" borderId="0" xfId="8" applyNumberFormat="1" applyFont="1" applyFill="1"/>
    <xf numFmtId="164" fontId="16" fillId="3" borderId="0" xfId="8" applyNumberFormat="1" applyFont="1" applyFill="1"/>
    <xf numFmtId="164" fontId="13" fillId="3" borderId="0" xfId="8" applyNumberFormat="1" applyFont="1" applyFill="1"/>
    <xf numFmtId="164" fontId="37" fillId="0" borderId="0" xfId="8" applyNumberFormat="1" applyFont="1" applyFill="1"/>
    <xf numFmtId="164" fontId="35" fillId="0" borderId="0" xfId="8" applyNumberFormat="1" applyFont="1" applyFill="1"/>
    <xf numFmtId="0" fontId="34" fillId="0" borderId="0" xfId="6" applyFont="1"/>
    <xf numFmtId="0" fontId="35" fillId="0" borderId="0" xfId="6" applyFont="1"/>
    <xf numFmtId="0" fontId="37" fillId="0" borderId="0" xfId="6" applyFont="1"/>
    <xf numFmtId="164" fontId="36" fillId="0" borderId="0" xfId="8" applyNumberFormat="1" applyFont="1" applyFill="1"/>
    <xf numFmtId="0" fontId="36" fillId="0" borderId="0" xfId="6" applyFont="1"/>
    <xf numFmtId="0" fontId="35" fillId="0" borderId="0" xfId="0" applyFont="1"/>
    <xf numFmtId="164" fontId="35" fillId="0" borderId="0" xfId="11" applyNumberFormat="1" applyFont="1" applyFill="1"/>
    <xf numFmtId="0" fontId="35" fillId="0" borderId="0" xfId="0" applyFont="1" applyAlignment="1">
      <alignment horizontal="left"/>
    </xf>
    <xf numFmtId="0" fontId="38" fillId="0" borderId="0" xfId="7" applyFont="1" applyAlignment="1">
      <alignment horizontal="left" vertical="center"/>
    </xf>
    <xf numFmtId="164" fontId="38" fillId="0" borderId="0" xfId="8" applyNumberFormat="1" applyFont="1" applyFill="1" applyBorder="1" applyAlignment="1">
      <alignment horizontal="left" vertical="center"/>
    </xf>
    <xf numFmtId="164" fontId="38" fillId="0" borderId="0" xfId="11" applyNumberFormat="1" applyFont="1" applyFill="1" applyBorder="1" applyAlignment="1">
      <alignment horizontal="left" vertical="center"/>
    </xf>
    <xf numFmtId="0" fontId="37" fillId="0" borderId="0" xfId="7" applyFont="1" applyAlignment="1">
      <alignment horizontal="left" vertical="center"/>
    </xf>
    <xf numFmtId="0" fontId="39" fillId="0" borderId="0" xfId="7" applyFont="1" applyAlignment="1">
      <alignment horizontal="left" vertical="center"/>
    </xf>
    <xf numFmtId="0" fontId="40" fillId="0" borderId="0" xfId="7" applyFont="1" applyAlignment="1">
      <alignment horizontal="left" vertical="center"/>
    </xf>
    <xf numFmtId="0" fontId="41" fillId="0" borderId="0" xfId="7" applyFont="1" applyAlignment="1">
      <alignment horizontal="left" vertical="center"/>
    </xf>
    <xf numFmtId="164" fontId="34" fillId="0" borderId="0" xfId="8" applyNumberFormat="1" applyFont="1" applyFill="1" applyBorder="1" applyAlignment="1">
      <alignment horizontal="left"/>
    </xf>
    <xf numFmtId="0" fontId="42" fillId="0" borderId="0" xfId="7" applyFont="1" applyAlignment="1">
      <alignment horizontal="left" vertical="center"/>
    </xf>
    <xf numFmtId="49" fontId="35" fillId="0" borderId="0" xfId="0" applyNumberFormat="1" applyFont="1" applyAlignment="1">
      <alignment horizontal="left"/>
    </xf>
    <xf numFmtId="164" fontId="35" fillId="0" borderId="0" xfId="0" applyNumberFormat="1" applyFont="1"/>
    <xf numFmtId="0" fontId="4" fillId="0" borderId="0" xfId="0" applyFont="1"/>
    <xf numFmtId="49" fontId="43" fillId="0" borderId="1" xfId="0" applyNumberFormat="1" applyFont="1" applyBorder="1" applyAlignment="1">
      <alignment horizontal="left" vertical="top" wrapText="1"/>
    </xf>
    <xf numFmtId="49" fontId="44" fillId="0" borderId="0" xfId="0" applyNumberFormat="1" applyFont="1" applyAlignment="1">
      <alignment horizontal="left" wrapText="1"/>
    </xf>
    <xf numFmtId="0" fontId="44" fillId="0" borderId="0" xfId="0" applyFont="1" applyAlignment="1">
      <alignment wrapText="1"/>
    </xf>
    <xf numFmtId="4" fontId="44" fillId="0" borderId="0" xfId="0" applyNumberFormat="1" applyFont="1"/>
    <xf numFmtId="0" fontId="44" fillId="0" borderId="0" xfId="0" applyFont="1"/>
    <xf numFmtId="14" fontId="43" fillId="0" borderId="1" xfId="0" applyNumberFormat="1" applyFont="1" applyBorder="1" applyAlignment="1">
      <alignment horizontal="left" vertical="top" wrapText="1"/>
    </xf>
    <xf numFmtId="43" fontId="4" fillId="0" borderId="0" xfId="10" applyFont="1"/>
    <xf numFmtId="165" fontId="4" fillId="0" borderId="0" xfId="10" applyNumberFormat="1" applyFont="1"/>
    <xf numFmtId="165" fontId="4" fillId="10" borderId="0" xfId="10" applyNumberFormat="1" applyFont="1" applyFill="1"/>
    <xf numFmtId="14" fontId="4" fillId="0" borderId="0" xfId="0" applyNumberFormat="1" applyFont="1" applyAlignment="1">
      <alignment horizontal="left"/>
    </xf>
    <xf numFmtId="0" fontId="4" fillId="0" borderId="0" xfId="0" applyFont="1" applyAlignment="1">
      <alignment horizontal="left"/>
    </xf>
    <xf numFmtId="43" fontId="4" fillId="0" borderId="0" xfId="0" applyNumberFormat="1" applyFont="1"/>
    <xf numFmtId="165" fontId="4" fillId="11" borderId="0" xfId="10" applyNumberFormat="1" applyFont="1" applyFill="1"/>
    <xf numFmtId="49" fontId="4" fillId="0" borderId="0" xfId="0" applyNumberFormat="1" applyFont="1" applyAlignment="1">
      <alignment horizontal="right" vertical="center" wrapText="1"/>
    </xf>
    <xf numFmtId="0" fontId="4" fillId="0" borderId="0" xfId="0" applyFont="1" applyAlignment="1">
      <alignment horizontal="right" vertical="center" wrapText="1"/>
    </xf>
    <xf numFmtId="0" fontId="5" fillId="3" borderId="0" xfId="0" applyFont="1" applyFill="1" applyAlignment="1">
      <alignment horizontal="right" vertical="center" wrapText="1"/>
    </xf>
    <xf numFmtId="164" fontId="6" fillId="3" borderId="0" xfId="11" applyNumberFormat="1" applyFont="1" applyFill="1"/>
    <xf numFmtId="10" fontId="6" fillId="3" borderId="0" xfId="11" applyNumberFormat="1" applyFont="1" applyFill="1"/>
    <xf numFmtId="14" fontId="4" fillId="0" borderId="0" xfId="10" applyNumberFormat="1" applyFont="1"/>
    <xf numFmtId="164" fontId="32" fillId="3" borderId="0" xfId="8" applyNumberFormat="1" applyFont="1" applyFill="1"/>
    <xf numFmtId="164" fontId="45" fillId="0" borderId="0" xfId="8" applyNumberFormat="1" applyFont="1" applyFill="1" applyBorder="1" applyAlignment="1">
      <alignment horizontal="right" vertical="center"/>
    </xf>
    <xf numFmtId="164" fontId="32" fillId="0" borderId="0" xfId="6" applyNumberFormat="1" applyFont="1"/>
    <xf numFmtId="0" fontId="4" fillId="0" borderId="0" xfId="0" applyFont="1" applyAlignment="1">
      <alignment horizontal="left" vertical="center" wrapText="1"/>
    </xf>
    <xf numFmtId="0" fontId="4" fillId="10" borderId="0" xfId="0" applyFont="1" applyFill="1" applyAlignment="1">
      <alignment horizontal="left" vertical="center" wrapText="1"/>
    </xf>
    <xf numFmtId="0" fontId="4" fillId="10" borderId="0" xfId="0" applyFont="1" applyFill="1" applyAlignment="1">
      <alignment horizontal="right" vertical="center" wrapText="1"/>
    </xf>
    <xf numFmtId="49" fontId="4" fillId="0" borderId="0" xfId="0" applyNumberFormat="1" applyFont="1" applyAlignment="1">
      <alignment horizontal="center" vertical="center" wrapText="1"/>
    </xf>
    <xf numFmtId="49" fontId="4" fillId="0" borderId="0" xfId="10" applyNumberFormat="1" applyFont="1"/>
    <xf numFmtId="164" fontId="4" fillId="0" borderId="0" xfId="11" applyNumberFormat="1" applyFont="1"/>
    <xf numFmtId="10" fontId="4" fillId="0" borderId="0" xfId="11" applyNumberFormat="1" applyFont="1"/>
    <xf numFmtId="49" fontId="4" fillId="0" borderId="0" xfId="10" applyNumberFormat="1" applyFont="1" applyAlignment="1">
      <alignment horizontal="right"/>
    </xf>
    <xf numFmtId="164" fontId="14" fillId="3" borderId="0" xfId="6" applyNumberFormat="1" applyFont="1" applyFill="1"/>
    <xf numFmtId="164" fontId="32" fillId="3" borderId="0" xfId="6" applyNumberFormat="1" applyFont="1" applyFill="1"/>
    <xf numFmtId="164" fontId="32" fillId="0" borderId="0" xfId="8" applyNumberFormat="1" applyFont="1" applyFill="1"/>
    <xf numFmtId="164" fontId="5" fillId="4" borderId="0" xfId="8" applyNumberFormat="1" applyFont="1" applyFill="1"/>
    <xf numFmtId="0" fontId="16" fillId="12" borderId="0" xfId="6" applyFont="1" applyFill="1"/>
    <xf numFmtId="9" fontId="17" fillId="12" borderId="0" xfId="6" applyNumberFormat="1" applyFont="1" applyFill="1"/>
    <xf numFmtId="164" fontId="16" fillId="12" borderId="0" xfId="8" applyNumberFormat="1" applyFont="1" applyFill="1"/>
    <xf numFmtId="0" fontId="32" fillId="0" borderId="0" xfId="7" applyFont="1"/>
    <xf numFmtId="164" fontId="6" fillId="3" borderId="0" xfId="7" applyNumberFormat="1" applyFont="1" applyFill="1"/>
    <xf numFmtId="167" fontId="47" fillId="0" borderId="0" xfId="10" applyNumberFormat="1" applyFont="1" applyAlignment="1">
      <alignment horizontal="center"/>
    </xf>
    <xf numFmtId="0" fontId="47" fillId="0" borderId="0" xfId="0" applyFont="1"/>
    <xf numFmtId="167" fontId="47" fillId="0" borderId="0" xfId="10" applyNumberFormat="1" applyFont="1" applyAlignment="1">
      <alignment horizontal="right"/>
    </xf>
    <xf numFmtId="0" fontId="47" fillId="0" borderId="0" xfId="0" applyFont="1" applyAlignment="1">
      <alignment horizontal="right"/>
    </xf>
    <xf numFmtId="9" fontId="48" fillId="3" borderId="0" xfId="11" applyFont="1" applyFill="1" applyBorder="1" applyAlignment="1">
      <alignment horizontal="center"/>
    </xf>
    <xf numFmtId="164" fontId="48" fillId="3" borderId="0" xfId="11" applyNumberFormat="1" applyFont="1" applyFill="1" applyBorder="1"/>
    <xf numFmtId="0" fontId="49" fillId="0" borderId="0" xfId="0" applyFont="1"/>
    <xf numFmtId="9" fontId="50" fillId="4" borderId="0" xfId="8" applyFont="1" applyFill="1" applyAlignment="1">
      <alignment horizontal="left" vertical="center" readingOrder="1"/>
    </xf>
    <xf numFmtId="9" fontId="49" fillId="4" borderId="0" xfId="8" applyFont="1" applyFill="1"/>
    <xf numFmtId="9" fontId="51" fillId="4" borderId="0" xfId="8" applyFont="1" applyFill="1"/>
    <xf numFmtId="0" fontId="51" fillId="3" borderId="0" xfId="6" applyFont="1" applyFill="1"/>
    <xf numFmtId="0" fontId="49" fillId="3" borderId="0" xfId="7" applyFont="1" applyFill="1"/>
    <xf numFmtId="164" fontId="49" fillId="3" borderId="0" xfId="7" applyNumberFormat="1" applyFont="1" applyFill="1"/>
    <xf numFmtId="164" fontId="49" fillId="3" borderId="0" xfId="11" applyNumberFormat="1" applyFont="1" applyFill="1"/>
    <xf numFmtId="9" fontId="52" fillId="5" borderId="0" xfId="8" applyFont="1" applyFill="1" applyAlignment="1">
      <alignment horizontal="left" vertical="center" readingOrder="1"/>
    </xf>
    <xf numFmtId="9" fontId="53" fillId="5" borderId="0" xfId="8" applyFont="1" applyFill="1"/>
    <xf numFmtId="9" fontId="52" fillId="5" borderId="0" xfId="8" applyFont="1" applyFill="1"/>
    <xf numFmtId="164" fontId="49" fillId="3" borderId="0" xfId="8" applyNumberFormat="1" applyFont="1" applyFill="1"/>
    <xf numFmtId="0" fontId="54" fillId="3" borderId="0" xfId="6" applyFont="1" applyFill="1"/>
    <xf numFmtId="9" fontId="52" fillId="6" borderId="0" xfId="8" applyFont="1" applyFill="1" applyAlignment="1">
      <alignment horizontal="left" vertical="center" readingOrder="1"/>
    </xf>
    <xf numFmtId="9" fontId="53" fillId="6" borderId="0" xfId="8" applyFont="1" applyFill="1"/>
    <xf numFmtId="9" fontId="52" fillId="6" borderId="0" xfId="8" applyFont="1" applyFill="1"/>
    <xf numFmtId="0" fontId="49" fillId="3" borderId="0" xfId="6" applyFont="1" applyFill="1"/>
    <xf numFmtId="9" fontId="52" fillId="7" borderId="0" xfId="8" applyFont="1" applyFill="1" applyAlignment="1">
      <alignment horizontal="left" vertical="center" readingOrder="1"/>
    </xf>
    <xf numFmtId="9" fontId="53" fillId="7" borderId="0" xfId="8" applyFont="1" applyFill="1"/>
    <xf numFmtId="9" fontId="52" fillId="7" borderId="0" xfId="11" applyFont="1" applyFill="1"/>
    <xf numFmtId="0" fontId="52" fillId="9" borderId="0" xfId="6" applyFont="1" applyFill="1"/>
    <xf numFmtId="9" fontId="52" fillId="9" borderId="0" xfId="6" applyNumberFormat="1" applyFont="1" applyFill="1"/>
    <xf numFmtId="0" fontId="52" fillId="3" borderId="0" xfId="6" applyFont="1" applyFill="1"/>
    <xf numFmtId="0" fontId="49" fillId="3" borderId="0" xfId="0" applyFont="1" applyFill="1"/>
    <xf numFmtId="0" fontId="52" fillId="12" borderId="0" xfId="6" applyFont="1" applyFill="1"/>
    <xf numFmtId="9" fontId="52" fillId="12" borderId="0" xfId="6" applyNumberFormat="1" applyFont="1" applyFill="1"/>
    <xf numFmtId="9" fontId="50" fillId="3" borderId="0" xfId="8" applyFont="1" applyFill="1"/>
    <xf numFmtId="9" fontId="54" fillId="3" borderId="0" xfId="8" applyFont="1" applyFill="1"/>
    <xf numFmtId="9" fontId="49" fillId="0" borderId="0" xfId="11" applyFont="1"/>
    <xf numFmtId="0" fontId="49" fillId="0" borderId="0" xfId="6" applyFont="1"/>
    <xf numFmtId="164" fontId="13" fillId="3" borderId="1" xfId="8" applyNumberFormat="1" applyFont="1" applyFill="1" applyBorder="1" applyAlignment="1">
      <alignment horizontal="center" vertical="center" wrapText="1"/>
    </xf>
    <xf numFmtId="0" fontId="51" fillId="3" borderId="3" xfId="6" applyFont="1" applyFill="1" applyBorder="1"/>
    <xf numFmtId="0" fontId="49" fillId="3" borderId="3" xfId="6" applyFont="1" applyFill="1" applyBorder="1"/>
    <xf numFmtId="164" fontId="49" fillId="3" borderId="3" xfId="8" applyNumberFormat="1" applyFont="1" applyFill="1" applyBorder="1"/>
    <xf numFmtId="0" fontId="49" fillId="0" borderId="3" xfId="0" applyFont="1" applyBorder="1"/>
    <xf numFmtId="9" fontId="50" fillId="3" borderId="0" xfId="11" applyFont="1" applyFill="1"/>
    <xf numFmtId="9" fontId="51" fillId="0" borderId="0" xfId="11" applyFont="1"/>
    <xf numFmtId="9" fontId="51" fillId="3" borderId="0" xfId="11" applyFont="1" applyFill="1"/>
    <xf numFmtId="0" fontId="13" fillId="0" borderId="1" xfId="7" applyFont="1" applyBorder="1" applyAlignment="1">
      <alignment horizontal="left" vertical="center"/>
    </xf>
    <xf numFmtId="0" fontId="13" fillId="0" borderId="1" xfId="7" applyFont="1" applyBorder="1" applyAlignment="1">
      <alignment horizontal="center" vertical="center" wrapText="1"/>
    </xf>
    <xf numFmtId="0" fontId="13" fillId="0" borderId="1" xfId="7" applyFont="1" applyBorder="1" applyAlignment="1">
      <alignment horizontal="right" vertical="center" wrapText="1"/>
    </xf>
    <xf numFmtId="164" fontId="13" fillId="3" borderId="1" xfId="8" applyNumberFormat="1" applyFont="1" applyFill="1" applyBorder="1" applyAlignment="1">
      <alignment horizontal="right" vertical="center" wrapText="1"/>
    </xf>
    <xf numFmtId="0" fontId="14" fillId="0" borderId="0" xfId="0" applyFont="1"/>
    <xf numFmtId="0" fontId="55" fillId="3" borderId="0" xfId="9" applyFont="1" applyFill="1" applyAlignment="1">
      <alignment horizontal="left" vertical="center"/>
    </xf>
    <xf numFmtId="0" fontId="49" fillId="3" borderId="0" xfId="6" applyFont="1" applyFill="1" applyAlignment="1">
      <alignment horizontal="left"/>
    </xf>
    <xf numFmtId="9" fontId="51" fillId="3" borderId="0" xfId="8" applyFont="1" applyFill="1" applyAlignment="1">
      <alignment horizontal="left" vertical="center" readingOrder="1"/>
    </xf>
    <xf numFmtId="43" fontId="56" fillId="0" borderId="0" xfId="10" applyFont="1" applyAlignment="1">
      <alignment horizontal="center"/>
    </xf>
    <xf numFmtId="43" fontId="56" fillId="0" borderId="0" xfId="0" applyNumberFormat="1" applyFont="1"/>
    <xf numFmtId="43" fontId="56" fillId="3" borderId="0" xfId="11" applyNumberFormat="1" applyFont="1" applyFill="1" applyAlignment="1">
      <alignment horizontal="center"/>
    </xf>
    <xf numFmtId="43" fontId="22" fillId="0" borderId="0" xfId="10" applyFont="1" applyAlignment="1">
      <alignment horizontal="center"/>
    </xf>
    <xf numFmtId="167" fontId="56" fillId="0" borderId="0" xfId="10" applyNumberFormat="1" applyFont="1" applyAlignment="1">
      <alignment horizontal="center"/>
    </xf>
    <xf numFmtId="43" fontId="56" fillId="3" borderId="0" xfId="10" applyFont="1" applyFill="1" applyAlignment="1">
      <alignment horizontal="center"/>
    </xf>
    <xf numFmtId="43" fontId="56" fillId="0" borderId="3" xfId="10" applyFont="1" applyBorder="1" applyAlignment="1">
      <alignment horizontal="center"/>
    </xf>
    <xf numFmtId="9" fontId="57" fillId="0" borderId="0" xfId="11" applyFont="1" applyAlignment="1">
      <alignment horizontal="center" vertical="center"/>
    </xf>
    <xf numFmtId="9" fontId="56" fillId="3" borderId="0" xfId="11" applyFont="1" applyFill="1"/>
    <xf numFmtId="43" fontId="57" fillId="0" borderId="0" xfId="10" applyFont="1" applyAlignment="1">
      <alignment horizontal="center" vertical="center"/>
    </xf>
    <xf numFmtId="43" fontId="57" fillId="3" borderId="0" xfId="10" applyFont="1" applyFill="1"/>
    <xf numFmtId="43" fontId="56" fillId="0" borderId="0" xfId="10" applyFont="1" applyAlignment="1">
      <alignment horizontal="center" vertical="center"/>
    </xf>
    <xf numFmtId="43" fontId="57" fillId="3" borderId="0" xfId="10" applyFont="1" applyFill="1" applyAlignment="1">
      <alignment horizontal="center" vertical="center"/>
    </xf>
    <xf numFmtId="43" fontId="58" fillId="0" borderId="0" xfId="10" applyFont="1" applyAlignment="1">
      <alignment horizontal="center" vertical="center"/>
    </xf>
    <xf numFmtId="43" fontId="56" fillId="0" borderId="3" xfId="10" applyFont="1" applyBorder="1" applyAlignment="1">
      <alignment horizontal="center" vertical="center"/>
    </xf>
    <xf numFmtId="43" fontId="56" fillId="0" borderId="0" xfId="10" applyFont="1"/>
    <xf numFmtId="43" fontId="56" fillId="3" borderId="0" xfId="10" applyFont="1" applyFill="1"/>
    <xf numFmtId="43" fontId="57" fillId="0" borderId="0" xfId="10" applyFont="1"/>
    <xf numFmtId="43" fontId="57" fillId="0" borderId="3" xfId="10" applyFont="1" applyBorder="1" applyAlignment="1">
      <alignment horizontal="center" vertical="center"/>
    </xf>
    <xf numFmtId="0" fontId="56" fillId="0" borderId="0" xfId="0" applyFont="1"/>
    <xf numFmtId="9" fontId="57" fillId="3" borderId="2" xfId="11" applyFont="1" applyFill="1" applyBorder="1" applyAlignment="1">
      <alignment horizontal="center"/>
    </xf>
    <xf numFmtId="164" fontId="57" fillId="3" borderId="2" xfId="11" applyNumberFormat="1" applyFont="1" applyFill="1" applyBorder="1"/>
    <xf numFmtId="166" fontId="44" fillId="0" borderId="0" xfId="10" applyNumberFormat="1" applyFont="1" applyBorder="1" applyAlignment="1">
      <alignment horizontal="right"/>
    </xf>
    <xf numFmtId="166" fontId="43" fillId="0" borderId="0" xfId="10" applyNumberFormat="1" applyFont="1" applyAlignment="1">
      <alignment horizontal="right" vertical="center" wrapText="1"/>
    </xf>
    <xf numFmtId="166" fontId="59" fillId="0" borderId="0" xfId="10" applyNumberFormat="1" applyFont="1" applyBorder="1" applyAlignment="1">
      <alignment vertical="center"/>
    </xf>
    <xf numFmtId="166" fontId="59" fillId="0" borderId="0" xfId="10" applyNumberFormat="1" applyFont="1" applyAlignment="1">
      <alignment horizontal="right" vertical="center"/>
    </xf>
    <xf numFmtId="166" fontId="60" fillId="0" borderId="0" xfId="10" applyNumberFormat="1" applyFont="1" applyAlignment="1">
      <alignment horizontal="right" wrapText="1"/>
    </xf>
    <xf numFmtId="0" fontId="60" fillId="0" borderId="0" xfId="0" applyFont="1" applyAlignment="1">
      <alignment horizontal="right" wrapText="1"/>
    </xf>
    <xf numFmtId="0" fontId="44" fillId="0" borderId="0" xfId="0" applyFont="1" applyAlignment="1">
      <alignment horizontal="right"/>
    </xf>
    <xf numFmtId="166" fontId="44" fillId="0" borderId="0" xfId="10" applyNumberFormat="1" applyFont="1" applyAlignment="1">
      <alignment horizontal="right"/>
    </xf>
    <xf numFmtId="166" fontId="44" fillId="10" borderId="0" xfId="10" applyNumberFormat="1" applyFont="1" applyFill="1" applyBorder="1" applyAlignment="1">
      <alignment horizontal="right"/>
    </xf>
    <xf numFmtId="166" fontId="44" fillId="0" borderId="0" xfId="10" applyNumberFormat="1" applyFont="1" applyBorder="1"/>
    <xf numFmtId="166" fontId="44" fillId="0" borderId="0" xfId="10" applyNumberFormat="1" applyFont="1" applyAlignment="1">
      <alignment horizontal="right" vertical="center" wrapText="1"/>
    </xf>
    <xf numFmtId="0" fontId="44" fillId="0" borderId="0" xfId="0" applyFont="1" applyAlignment="1">
      <alignment horizontal="right" vertical="center" wrapText="1"/>
    </xf>
    <xf numFmtId="166" fontId="44" fillId="0" borderId="0" xfId="10" applyNumberFormat="1" applyFont="1"/>
    <xf numFmtId="49" fontId="43" fillId="0" borderId="0" xfId="0" applyNumberFormat="1" applyFont="1" applyAlignment="1">
      <alignment vertical="center" wrapText="1"/>
    </xf>
    <xf numFmtId="49" fontId="59" fillId="0" borderId="0" xfId="0" applyNumberFormat="1" applyFont="1"/>
    <xf numFmtId="49" fontId="44" fillId="0" borderId="0" xfId="0" applyNumberFormat="1" applyFont="1" applyAlignment="1">
      <alignment vertical="center" wrapText="1"/>
    </xf>
    <xf numFmtId="0" fontId="50" fillId="0" borderId="1" xfId="7" applyFont="1" applyBorder="1" applyAlignment="1">
      <alignment horizontal="left" vertical="center"/>
    </xf>
    <xf numFmtId="0" fontId="50" fillId="0" borderId="1" xfId="7" applyFont="1" applyBorder="1" applyAlignment="1">
      <alignment horizontal="center" vertical="center" wrapText="1"/>
    </xf>
    <xf numFmtId="0" fontId="50" fillId="0" borderId="1" xfId="7" applyFont="1" applyBorder="1" applyAlignment="1">
      <alignment horizontal="right" vertical="center" wrapText="1"/>
    </xf>
    <xf numFmtId="164" fontId="50" fillId="3" borderId="1" xfId="8" applyNumberFormat="1" applyFont="1" applyFill="1" applyBorder="1" applyAlignment="1">
      <alignment horizontal="right" vertical="center" wrapText="1"/>
    </xf>
    <xf numFmtId="0" fontId="54" fillId="0" borderId="0" xfId="0" applyFont="1"/>
    <xf numFmtId="0" fontId="49" fillId="0" borderId="0" xfId="7" applyFont="1"/>
    <xf numFmtId="164" fontId="49" fillId="0" borderId="0" xfId="7" applyNumberFormat="1" applyFont="1"/>
    <xf numFmtId="164" fontId="49" fillId="0" borderId="0" xfId="6" applyNumberFormat="1" applyFont="1"/>
    <xf numFmtId="0" fontId="54" fillId="0" borderId="0" xfId="6" applyFont="1"/>
    <xf numFmtId="0" fontId="54" fillId="3" borderId="0" xfId="6" applyFont="1" applyFill="1" applyAlignment="1">
      <alignment horizontal="left"/>
    </xf>
    <xf numFmtId="10" fontId="49" fillId="0" borderId="0" xfId="11" applyNumberFormat="1" applyFont="1"/>
  </cellXfs>
  <cellStyles count="12">
    <cellStyle name="Comma" xfId="10" builtinId="3"/>
    <cellStyle name="Comma 2" xfId="3" xr:uid="{CD9BE299-5E8F-4EAA-9A7E-1903BF6A3650}"/>
    <cellStyle name="Normal" xfId="0" builtinId="0"/>
    <cellStyle name="Normal 2" xfId="9" xr:uid="{929A49B5-251B-4DC4-A29C-B3F991B90867}"/>
    <cellStyle name="Normal 2 2" xfId="2" xr:uid="{F4B1519E-663D-416B-8F45-AEEF5EBB9706}"/>
    <cellStyle name="Normal 3 2" xfId="5" xr:uid="{B89240C3-262F-407C-B348-FB32E2AE04E8}"/>
    <cellStyle name="Normal 5" xfId="7" xr:uid="{61FBCB4D-EE0D-481E-9166-BAF400623416}"/>
    <cellStyle name="Normal 6" xfId="6" xr:uid="{499139BE-82F8-4FA0-9238-B781A6ADEADE}"/>
    <cellStyle name="Normal 7" xfId="1" xr:uid="{38C16F37-AB47-48D8-866A-962AF1E798E6}"/>
    <cellStyle name="Percent" xfId="11" builtinId="5"/>
    <cellStyle name="Percent 2" xfId="8" xr:uid="{C69F4678-044D-4E86-A363-72684A1C9234}"/>
    <cellStyle name="Percent 2 2" xfId="4" xr:uid="{B7BEC574-035C-4FE1-BC4C-A6676C566B18}"/>
  </cellStyles>
  <dxfs count="1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2" defaultPivotStyle="PivotStyleLight16">
    <tableStyle name="Invisible" pivot="0" table="0" count="0" xr9:uid="{D0947314-2CCA-48CF-BF04-7F0E70E9467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heme/theme1.xml><?xml version="1.0" encoding="utf-8"?>
<a:theme xmlns:a="http://schemas.openxmlformats.org/drawingml/2006/main" name="AlTi Premium Theme_Excel">
  <a:themeElements>
    <a:clrScheme name="AlTi Premium Theme">
      <a:dk1>
        <a:sysClr val="windowText" lastClr="000000"/>
      </a:dk1>
      <a:lt1>
        <a:sysClr val="window" lastClr="FFFFFF"/>
      </a:lt1>
      <a:dk2>
        <a:srgbClr val="777777"/>
      </a:dk2>
      <a:lt2>
        <a:srgbClr val="E9F6F5"/>
      </a:lt2>
      <a:accent1>
        <a:srgbClr val="00E7D7"/>
      </a:accent1>
      <a:accent2>
        <a:srgbClr val="0F94A6"/>
      </a:accent2>
      <a:accent3>
        <a:srgbClr val="0A598C"/>
      </a:accent3>
      <a:accent4>
        <a:srgbClr val="DBCB23"/>
      </a:accent4>
      <a:accent5>
        <a:srgbClr val="821A8B"/>
      </a:accent5>
      <a:accent6>
        <a:srgbClr val="B8A61F"/>
      </a:accent6>
      <a:hlink>
        <a:srgbClr val="EC8A13"/>
      </a:hlink>
      <a:folHlink>
        <a:srgbClr val="AE2095"/>
      </a:folHlink>
    </a:clrScheme>
    <a:fontScheme name="AlTi Premium Theme">
      <a:majorFont>
        <a:latin typeface="Arial Nova Light"/>
        <a:ea typeface=""/>
        <a:cs typeface=""/>
      </a:majorFont>
      <a:minorFont>
        <a:latin typeface="Arial Nova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97E3F-2498-4B3E-9736-09F15B226D3F}">
  <sheetPr codeName="Sheet1"/>
  <dimension ref="A1:L53"/>
  <sheetViews>
    <sheetView tabSelected="1" workbookViewId="0">
      <selection activeCell="C16" sqref="C16"/>
    </sheetView>
  </sheetViews>
  <sheetFormatPr baseColWidth="10" defaultColWidth="16.33203125" defaultRowHeight="24" customHeight="1" x14ac:dyDescent="0.15"/>
  <cols>
    <col min="1" max="1" width="27.33203125" style="110" bestFit="1" customWidth="1"/>
    <col min="2" max="2" width="16.83203125" style="110" bestFit="1" customWidth="1"/>
    <col min="3" max="3" width="29.5" style="110" customWidth="1"/>
    <col min="4" max="4" width="20.5" style="110" bestFit="1" customWidth="1"/>
    <col min="5" max="5" width="5.6640625" style="110" bestFit="1" customWidth="1"/>
    <col min="6" max="6" width="23" style="110" customWidth="1"/>
    <col min="7" max="7" width="33.33203125" style="110" customWidth="1"/>
    <col min="8" max="8" width="27.5" style="110" bestFit="1" customWidth="1"/>
    <col min="9" max="9" width="10" style="114" bestFit="1" customWidth="1"/>
    <col min="10" max="10" width="6.83203125" style="110" bestFit="1" customWidth="1"/>
    <col min="11" max="11" width="32.1640625" style="110" bestFit="1" customWidth="1"/>
    <col min="12" max="12" width="102.6640625" style="110" customWidth="1"/>
    <col min="13" max="16384" width="16.33203125" style="110"/>
  </cols>
  <sheetData>
    <row r="1" spans="1:12" ht="24" customHeight="1" x14ac:dyDescent="0.15">
      <c r="A1" s="109" t="s">
        <v>100</v>
      </c>
      <c r="B1" s="109" t="s">
        <v>101</v>
      </c>
      <c r="C1" s="109" t="s">
        <v>314</v>
      </c>
      <c r="D1" s="109" t="s">
        <v>313</v>
      </c>
      <c r="E1" s="109" t="s">
        <v>312</v>
      </c>
      <c r="F1" s="109" t="s">
        <v>315</v>
      </c>
      <c r="G1" s="109" t="s">
        <v>319</v>
      </c>
      <c r="H1" s="109" t="s">
        <v>316</v>
      </c>
      <c r="I1" s="113" t="s">
        <v>337</v>
      </c>
      <c r="J1" s="109" t="s">
        <v>334</v>
      </c>
      <c r="K1" s="109" t="s">
        <v>317</v>
      </c>
      <c r="L1" s="109" t="s">
        <v>115</v>
      </c>
    </row>
    <row r="2" spans="1:12" ht="24" customHeight="1" x14ac:dyDescent="0.15">
      <c r="A2" s="110" t="s">
        <v>57</v>
      </c>
      <c r="B2" s="110" t="s">
        <v>97</v>
      </c>
      <c r="C2" s="110" t="s">
        <v>222</v>
      </c>
      <c r="D2" s="110" t="s">
        <v>221</v>
      </c>
      <c r="E2" s="112">
        <v>1099</v>
      </c>
      <c r="F2" s="110" t="s">
        <v>233</v>
      </c>
      <c r="G2" s="110" t="s">
        <v>223</v>
      </c>
      <c r="H2" s="110" t="s">
        <v>346</v>
      </c>
      <c r="I2" s="114" t="s">
        <v>338</v>
      </c>
      <c r="J2" s="110" t="s">
        <v>336</v>
      </c>
      <c r="K2" s="110" t="s">
        <v>234</v>
      </c>
      <c r="L2" s="110" t="s">
        <v>232</v>
      </c>
    </row>
    <row r="3" spans="1:12" ht="24" customHeight="1" x14ac:dyDescent="0.15">
      <c r="A3" s="110" t="s">
        <v>96</v>
      </c>
      <c r="B3" s="110" t="s">
        <v>97</v>
      </c>
      <c r="C3" s="110" t="s">
        <v>227</v>
      </c>
      <c r="D3" s="110" t="s">
        <v>221</v>
      </c>
      <c r="E3" s="112">
        <v>1099</v>
      </c>
      <c r="F3" s="110" t="s">
        <v>233</v>
      </c>
      <c r="G3" s="110" t="s">
        <v>244</v>
      </c>
      <c r="H3" s="110" t="s">
        <v>230</v>
      </c>
      <c r="I3" s="114" t="s">
        <v>338</v>
      </c>
      <c r="J3" s="110" t="s">
        <v>336</v>
      </c>
      <c r="K3" s="110" t="s">
        <v>245</v>
      </c>
      <c r="L3" s="110" t="s">
        <v>243</v>
      </c>
    </row>
    <row r="4" spans="1:12" ht="24" customHeight="1" x14ac:dyDescent="0.15">
      <c r="A4" s="110" t="s">
        <v>62</v>
      </c>
      <c r="B4" s="110" t="s">
        <v>97</v>
      </c>
      <c r="C4" s="110" t="s">
        <v>134</v>
      </c>
      <c r="D4" s="110" t="s">
        <v>138</v>
      </c>
      <c r="E4" s="112">
        <v>1099</v>
      </c>
      <c r="F4" s="110" t="s">
        <v>129</v>
      </c>
      <c r="G4" s="110" t="s">
        <v>139</v>
      </c>
      <c r="H4" s="110" t="s">
        <v>131</v>
      </c>
      <c r="I4" s="115" t="s">
        <v>345</v>
      </c>
      <c r="J4" s="110" t="s">
        <v>335</v>
      </c>
      <c r="K4" s="110" t="s">
        <v>140</v>
      </c>
      <c r="L4" s="110" t="s">
        <v>137</v>
      </c>
    </row>
    <row r="5" spans="1:12" ht="24" customHeight="1" x14ac:dyDescent="0.15">
      <c r="A5" s="110" t="s">
        <v>49</v>
      </c>
      <c r="B5" s="110" t="s">
        <v>97</v>
      </c>
      <c r="C5" s="110" t="s">
        <v>222</v>
      </c>
      <c r="D5" s="110" t="s">
        <v>221</v>
      </c>
      <c r="E5" s="112">
        <v>1099</v>
      </c>
      <c r="F5" s="110" t="s">
        <v>129</v>
      </c>
      <c r="G5" s="110" t="s">
        <v>223</v>
      </c>
      <c r="H5" s="110" t="s">
        <v>224</v>
      </c>
      <c r="I5" s="114" t="s">
        <v>338</v>
      </c>
      <c r="J5" s="110" t="s">
        <v>336</v>
      </c>
      <c r="K5" s="110" t="s">
        <v>225</v>
      </c>
      <c r="L5" s="110" t="s">
        <v>220</v>
      </c>
    </row>
    <row r="6" spans="1:12" ht="24" customHeight="1" x14ac:dyDescent="0.15">
      <c r="A6" s="110" t="s">
        <v>235</v>
      </c>
      <c r="B6" s="110" t="s">
        <v>97</v>
      </c>
      <c r="C6" s="110" t="s">
        <v>237</v>
      </c>
      <c r="D6" s="110" t="s">
        <v>221</v>
      </c>
      <c r="E6" s="112">
        <v>1099</v>
      </c>
      <c r="F6" s="110" t="s">
        <v>129</v>
      </c>
      <c r="G6" s="110" t="s">
        <v>223</v>
      </c>
      <c r="H6" s="110" t="s">
        <v>230</v>
      </c>
      <c r="I6" s="114" t="s">
        <v>338</v>
      </c>
      <c r="J6" s="110" t="s">
        <v>336</v>
      </c>
      <c r="K6" s="110" t="s">
        <v>238</v>
      </c>
      <c r="L6" s="110" t="s">
        <v>236</v>
      </c>
    </row>
    <row r="7" spans="1:12" ht="24" customHeight="1" x14ac:dyDescent="0.15">
      <c r="A7" s="110" t="s">
        <v>8</v>
      </c>
      <c r="B7" s="110" t="s">
        <v>97</v>
      </c>
      <c r="C7" s="110" t="s">
        <v>128</v>
      </c>
      <c r="D7" s="110" t="s">
        <v>127</v>
      </c>
      <c r="E7" s="112">
        <v>1099</v>
      </c>
      <c r="F7" s="110" t="s">
        <v>129</v>
      </c>
      <c r="G7" s="110" t="s">
        <v>130</v>
      </c>
      <c r="H7" s="110" t="s">
        <v>131</v>
      </c>
      <c r="I7" s="114" t="s">
        <v>338</v>
      </c>
      <c r="J7" s="110" t="s">
        <v>335</v>
      </c>
      <c r="K7" s="110" t="s">
        <v>132</v>
      </c>
      <c r="L7" s="110" t="s">
        <v>126</v>
      </c>
    </row>
    <row r="8" spans="1:12" ht="24" customHeight="1" x14ac:dyDescent="0.15">
      <c r="A8" s="110" t="s">
        <v>328</v>
      </c>
      <c r="B8" s="110" t="s">
        <v>97</v>
      </c>
      <c r="C8" s="110" t="s">
        <v>330</v>
      </c>
      <c r="D8" s="110" t="s">
        <v>133</v>
      </c>
      <c r="E8" s="112">
        <v>1099</v>
      </c>
      <c r="F8" s="110" t="s">
        <v>129</v>
      </c>
      <c r="G8" s="110" t="s">
        <v>331</v>
      </c>
      <c r="H8" s="110" t="s">
        <v>131</v>
      </c>
      <c r="I8" s="114" t="s">
        <v>343</v>
      </c>
      <c r="J8" s="110" t="s">
        <v>335</v>
      </c>
      <c r="K8" s="110" t="s">
        <v>136</v>
      </c>
      <c r="L8" s="110" t="s">
        <v>333</v>
      </c>
    </row>
    <row r="9" spans="1:12" ht="24" customHeight="1" x14ac:dyDescent="0.15">
      <c r="A9" s="110" t="s">
        <v>327</v>
      </c>
      <c r="B9" s="110" t="s">
        <v>97</v>
      </c>
      <c r="C9" s="110" t="s">
        <v>329</v>
      </c>
      <c r="D9" s="110" t="s">
        <v>133</v>
      </c>
      <c r="E9" s="112">
        <v>1099</v>
      </c>
      <c r="F9" s="110" t="s">
        <v>129</v>
      </c>
      <c r="G9" s="110" t="s">
        <v>135</v>
      </c>
      <c r="H9" s="110" t="s">
        <v>131</v>
      </c>
      <c r="I9" s="114" t="s">
        <v>343</v>
      </c>
      <c r="J9" s="110" t="s">
        <v>335</v>
      </c>
      <c r="K9" s="110" t="s">
        <v>136</v>
      </c>
      <c r="L9" s="110" t="s">
        <v>332</v>
      </c>
    </row>
    <row r="10" spans="1:12" ht="24" customHeight="1" x14ac:dyDescent="0.15">
      <c r="A10" s="110" t="s">
        <v>95</v>
      </c>
      <c r="B10" s="110" t="s">
        <v>97</v>
      </c>
      <c r="C10" s="110" t="s">
        <v>240</v>
      </c>
      <c r="D10" s="110" t="s">
        <v>221</v>
      </c>
      <c r="E10" s="112">
        <v>1099</v>
      </c>
      <c r="F10" s="110" t="s">
        <v>129</v>
      </c>
      <c r="G10" s="110" t="s">
        <v>241</v>
      </c>
      <c r="H10" s="110" t="s">
        <v>230</v>
      </c>
      <c r="I10" s="114" t="s">
        <v>338</v>
      </c>
      <c r="J10" s="110" t="s">
        <v>336</v>
      </c>
      <c r="K10" s="110" t="s">
        <v>242</v>
      </c>
      <c r="L10" s="110" t="s">
        <v>239</v>
      </c>
    </row>
    <row r="11" spans="1:12" ht="24" customHeight="1" x14ac:dyDescent="0.15">
      <c r="A11" s="110" t="s">
        <v>52</v>
      </c>
      <c r="B11" s="110" t="s">
        <v>97</v>
      </c>
      <c r="C11" s="110" t="s">
        <v>227</v>
      </c>
      <c r="D11" s="110" t="s">
        <v>221</v>
      </c>
      <c r="E11" s="112">
        <v>1099</v>
      </c>
      <c r="F11" s="110" t="s">
        <v>228</v>
      </c>
      <c r="G11" s="110" t="s">
        <v>229</v>
      </c>
      <c r="H11" s="110" t="s">
        <v>230</v>
      </c>
      <c r="I11" s="114" t="s">
        <v>338</v>
      </c>
      <c r="J11" s="110" t="s">
        <v>336</v>
      </c>
      <c r="K11" s="110" t="s">
        <v>231</v>
      </c>
      <c r="L11" s="110" t="s">
        <v>226</v>
      </c>
    </row>
    <row r="12" spans="1:12" ht="24" customHeight="1" x14ac:dyDescent="0.15">
      <c r="A12" s="111" t="s">
        <v>121</v>
      </c>
      <c r="B12" s="110" t="s">
        <v>99</v>
      </c>
      <c r="C12" s="110" t="s">
        <v>292</v>
      </c>
      <c r="D12" s="110" t="s">
        <v>348</v>
      </c>
      <c r="E12" s="112" t="s">
        <v>114</v>
      </c>
      <c r="F12" s="110" t="s">
        <v>172</v>
      </c>
      <c r="G12" s="110" t="s">
        <v>293</v>
      </c>
      <c r="H12" s="110" t="s">
        <v>321</v>
      </c>
      <c r="I12" s="114" t="s">
        <v>338</v>
      </c>
      <c r="J12" s="110" t="s">
        <v>335</v>
      </c>
      <c r="K12" s="110" t="s">
        <v>294</v>
      </c>
      <c r="L12" s="110" t="s">
        <v>291</v>
      </c>
    </row>
    <row r="13" spans="1:12" ht="24" customHeight="1" x14ac:dyDescent="0.15">
      <c r="A13" s="110" t="s">
        <v>38</v>
      </c>
      <c r="B13" s="110" t="s">
        <v>99</v>
      </c>
      <c r="C13" s="110" t="s">
        <v>210</v>
      </c>
      <c r="D13" s="110" t="s">
        <v>127</v>
      </c>
      <c r="E13" s="112">
        <v>1099</v>
      </c>
      <c r="F13" s="110" t="s">
        <v>172</v>
      </c>
      <c r="G13" s="110" t="s">
        <v>211</v>
      </c>
      <c r="H13" s="110" t="s">
        <v>131</v>
      </c>
      <c r="I13" s="115" t="s">
        <v>345</v>
      </c>
      <c r="J13" s="110" t="s">
        <v>335</v>
      </c>
      <c r="K13" s="110" t="s">
        <v>212</v>
      </c>
      <c r="L13" s="110" t="s">
        <v>209</v>
      </c>
    </row>
    <row r="14" spans="1:12" ht="24" customHeight="1" x14ac:dyDescent="0.15">
      <c r="A14" s="111" t="s">
        <v>120</v>
      </c>
      <c r="B14" s="110" t="s">
        <v>99</v>
      </c>
      <c r="C14" s="110" t="s">
        <v>289</v>
      </c>
      <c r="D14" s="110" t="s">
        <v>348</v>
      </c>
      <c r="E14" s="112" t="s">
        <v>114</v>
      </c>
      <c r="F14" s="110" t="s">
        <v>172</v>
      </c>
      <c r="G14" s="110" t="s">
        <v>248</v>
      </c>
      <c r="H14" s="110" t="s">
        <v>321</v>
      </c>
      <c r="I14" s="114" t="s">
        <v>338</v>
      </c>
      <c r="J14" s="110" t="s">
        <v>335</v>
      </c>
      <c r="K14" s="110" t="s">
        <v>290</v>
      </c>
      <c r="L14" s="110" t="s">
        <v>288</v>
      </c>
    </row>
    <row r="15" spans="1:12" ht="24" customHeight="1" x14ac:dyDescent="0.15">
      <c r="A15" s="111" t="s">
        <v>106</v>
      </c>
      <c r="B15" s="110" t="s">
        <v>99</v>
      </c>
      <c r="C15" s="110" t="s">
        <v>269</v>
      </c>
      <c r="D15" s="110" t="s">
        <v>348</v>
      </c>
      <c r="E15" s="112" t="s">
        <v>114</v>
      </c>
      <c r="F15" s="110" t="s">
        <v>270</v>
      </c>
      <c r="G15" s="110" t="s">
        <v>271</v>
      </c>
      <c r="H15" s="110" t="s">
        <v>321</v>
      </c>
      <c r="I15" s="114" t="s">
        <v>338</v>
      </c>
      <c r="J15" s="110" t="s">
        <v>335</v>
      </c>
      <c r="K15" s="110" t="s">
        <v>272</v>
      </c>
      <c r="L15" s="110" t="s">
        <v>268</v>
      </c>
    </row>
    <row r="16" spans="1:12" ht="24" customHeight="1" x14ac:dyDescent="0.15">
      <c r="A16" s="111" t="s">
        <v>117</v>
      </c>
      <c r="B16" s="110" t="s">
        <v>99</v>
      </c>
      <c r="C16" s="110" t="s">
        <v>274</v>
      </c>
      <c r="D16" s="110" t="s">
        <v>348</v>
      </c>
      <c r="E16" s="112" t="s">
        <v>114</v>
      </c>
      <c r="F16" s="110" t="s">
        <v>270</v>
      </c>
      <c r="G16" s="110" t="s">
        <v>275</v>
      </c>
      <c r="H16" s="110" t="s">
        <v>321</v>
      </c>
      <c r="I16" s="114" t="s">
        <v>338</v>
      </c>
      <c r="J16" s="110" t="s">
        <v>335</v>
      </c>
      <c r="K16" s="110" t="s">
        <v>276</v>
      </c>
      <c r="L16" s="110" t="s">
        <v>273</v>
      </c>
    </row>
    <row r="17" spans="1:12" ht="24" customHeight="1" x14ac:dyDescent="0.15">
      <c r="A17" s="111" t="s">
        <v>122</v>
      </c>
      <c r="B17" s="110" t="s">
        <v>99</v>
      </c>
      <c r="C17" s="110" t="s">
        <v>296</v>
      </c>
      <c r="D17" s="110" t="s">
        <v>348</v>
      </c>
      <c r="E17" s="112" t="s">
        <v>114</v>
      </c>
      <c r="F17" s="110" t="s">
        <v>149</v>
      </c>
      <c r="G17" s="110" t="s">
        <v>297</v>
      </c>
      <c r="H17" s="110" t="s">
        <v>321</v>
      </c>
      <c r="I17" s="114" t="s">
        <v>338</v>
      </c>
      <c r="J17" s="110" t="s">
        <v>335</v>
      </c>
      <c r="K17" s="110" t="s">
        <v>298</v>
      </c>
      <c r="L17" s="110" t="s">
        <v>295</v>
      </c>
    </row>
    <row r="18" spans="1:12" ht="24" customHeight="1" x14ac:dyDescent="0.15">
      <c r="A18" s="111" t="s">
        <v>102</v>
      </c>
      <c r="B18" s="110" t="s">
        <v>99</v>
      </c>
      <c r="C18" s="110" t="s">
        <v>247</v>
      </c>
      <c r="D18" s="110" t="s">
        <v>348</v>
      </c>
      <c r="E18" s="112" t="s">
        <v>114</v>
      </c>
      <c r="F18" s="110" t="s">
        <v>149</v>
      </c>
      <c r="G18" s="110" t="s">
        <v>248</v>
      </c>
      <c r="H18" s="110" t="s">
        <v>321</v>
      </c>
      <c r="I18" s="114" t="s">
        <v>338</v>
      </c>
      <c r="J18" s="110" t="s">
        <v>335</v>
      </c>
      <c r="K18" s="110" t="s">
        <v>249</v>
      </c>
      <c r="L18" s="110" t="s">
        <v>246</v>
      </c>
    </row>
    <row r="19" spans="1:12" ht="24" customHeight="1" x14ac:dyDescent="0.15">
      <c r="A19" s="111" t="s">
        <v>103</v>
      </c>
      <c r="B19" s="110" t="s">
        <v>99</v>
      </c>
      <c r="C19" s="110" t="s">
        <v>258</v>
      </c>
      <c r="D19" s="110" t="s">
        <v>348</v>
      </c>
      <c r="E19" s="112" t="s">
        <v>114</v>
      </c>
      <c r="F19" s="110" t="s">
        <v>149</v>
      </c>
      <c r="G19" s="110" t="s">
        <v>259</v>
      </c>
      <c r="H19" s="110" t="s">
        <v>321</v>
      </c>
      <c r="I19" s="114" t="s">
        <v>338</v>
      </c>
      <c r="J19" s="110" t="s">
        <v>335</v>
      </c>
      <c r="K19" s="110" t="s">
        <v>260</v>
      </c>
      <c r="L19" s="110" t="s">
        <v>257</v>
      </c>
    </row>
    <row r="20" spans="1:12" ht="24" customHeight="1" x14ac:dyDescent="0.15">
      <c r="A20" s="111" t="s">
        <v>104</v>
      </c>
      <c r="B20" s="110" t="s">
        <v>99</v>
      </c>
      <c r="C20" s="110" t="s">
        <v>262</v>
      </c>
      <c r="D20" s="110" t="s">
        <v>348</v>
      </c>
      <c r="E20" s="112" t="s">
        <v>114</v>
      </c>
      <c r="F20" s="110" t="s">
        <v>149</v>
      </c>
      <c r="G20" s="110" t="s">
        <v>248</v>
      </c>
      <c r="H20" s="110" t="s">
        <v>321</v>
      </c>
      <c r="I20" s="114" t="s">
        <v>338</v>
      </c>
      <c r="J20" s="110" t="s">
        <v>335</v>
      </c>
      <c r="K20" s="110" t="s">
        <v>263</v>
      </c>
      <c r="L20" s="110" t="s">
        <v>261</v>
      </c>
    </row>
    <row r="21" spans="1:12" ht="24" customHeight="1" x14ac:dyDescent="0.15">
      <c r="A21" s="111" t="s">
        <v>108</v>
      </c>
      <c r="B21" s="110" t="s">
        <v>99</v>
      </c>
      <c r="C21" s="110" t="s">
        <v>304</v>
      </c>
      <c r="D21" s="110" t="s">
        <v>348</v>
      </c>
      <c r="E21" s="112" t="s">
        <v>114</v>
      </c>
      <c r="F21" s="110" t="s">
        <v>149</v>
      </c>
      <c r="G21" s="110" t="s">
        <v>248</v>
      </c>
      <c r="H21" s="110" t="s">
        <v>321</v>
      </c>
      <c r="I21" s="114" t="s">
        <v>338</v>
      </c>
      <c r="J21" s="110" t="s">
        <v>336</v>
      </c>
      <c r="K21" s="110" t="s">
        <v>305</v>
      </c>
      <c r="L21" s="110" t="s">
        <v>303</v>
      </c>
    </row>
    <row r="22" spans="1:12" ht="24" customHeight="1" x14ac:dyDescent="0.15">
      <c r="A22" s="110" t="s">
        <v>92</v>
      </c>
      <c r="B22" s="110" t="s">
        <v>99</v>
      </c>
      <c r="C22" s="110" t="s">
        <v>206</v>
      </c>
      <c r="D22" s="110" t="s">
        <v>318</v>
      </c>
      <c r="E22" s="112" t="s">
        <v>114</v>
      </c>
      <c r="F22" s="110" t="s">
        <v>149</v>
      </c>
      <c r="G22" s="110" t="s">
        <v>207</v>
      </c>
      <c r="H22" s="110" t="s">
        <v>322</v>
      </c>
      <c r="I22" s="115" t="s">
        <v>345</v>
      </c>
      <c r="J22" s="110" t="s">
        <v>335</v>
      </c>
      <c r="K22" s="110" t="s">
        <v>208</v>
      </c>
      <c r="L22" s="110" t="s">
        <v>205</v>
      </c>
    </row>
    <row r="23" spans="1:12" ht="24" customHeight="1" x14ac:dyDescent="0.15">
      <c r="A23" s="110" t="s">
        <v>29</v>
      </c>
      <c r="B23" s="110" t="s">
        <v>99</v>
      </c>
      <c r="C23" s="110" t="s">
        <v>76</v>
      </c>
      <c r="D23" s="110" t="s">
        <v>318</v>
      </c>
      <c r="E23" s="112" t="s">
        <v>114</v>
      </c>
      <c r="F23" s="110" t="s">
        <v>149</v>
      </c>
      <c r="G23" s="110" t="s">
        <v>186</v>
      </c>
      <c r="H23" s="110" t="s">
        <v>322</v>
      </c>
      <c r="I23" s="114" t="s">
        <v>344</v>
      </c>
      <c r="J23" s="110" t="s">
        <v>335</v>
      </c>
      <c r="K23" s="110" t="s">
        <v>190</v>
      </c>
      <c r="L23" s="110" t="s">
        <v>188</v>
      </c>
    </row>
    <row r="24" spans="1:12" ht="24" customHeight="1" x14ac:dyDescent="0.15">
      <c r="A24" s="110" t="s">
        <v>111</v>
      </c>
      <c r="B24" s="110" t="s">
        <v>99</v>
      </c>
      <c r="C24" s="110" t="s">
        <v>76</v>
      </c>
      <c r="D24" s="110" t="s">
        <v>318</v>
      </c>
      <c r="E24" s="112" t="s">
        <v>114</v>
      </c>
      <c r="F24" s="110" t="s">
        <v>149</v>
      </c>
      <c r="G24" s="110" t="s">
        <v>186</v>
      </c>
      <c r="H24" s="110" t="s">
        <v>322</v>
      </c>
      <c r="I24" s="114" t="s">
        <v>344</v>
      </c>
      <c r="J24" s="110" t="s">
        <v>335</v>
      </c>
      <c r="K24" s="110" t="s">
        <v>187</v>
      </c>
      <c r="L24" s="110" t="s">
        <v>185</v>
      </c>
    </row>
    <row r="25" spans="1:12" ht="24" customHeight="1" x14ac:dyDescent="0.15">
      <c r="A25" s="110" t="s">
        <v>31</v>
      </c>
      <c r="B25" s="110" t="s">
        <v>99</v>
      </c>
      <c r="C25" s="110" t="s">
        <v>76</v>
      </c>
      <c r="D25" s="110" t="s">
        <v>127</v>
      </c>
      <c r="E25" s="112">
        <v>1099</v>
      </c>
      <c r="F25" s="110" t="s">
        <v>149</v>
      </c>
      <c r="G25" s="110" t="s">
        <v>189</v>
      </c>
      <c r="H25" s="110" t="s">
        <v>131</v>
      </c>
      <c r="I25" s="115" t="s">
        <v>345</v>
      </c>
      <c r="J25" s="110" t="s">
        <v>335</v>
      </c>
      <c r="K25" s="110" t="s">
        <v>192</v>
      </c>
      <c r="L25" s="110" t="s">
        <v>191</v>
      </c>
    </row>
    <row r="26" spans="1:12" ht="24" customHeight="1" x14ac:dyDescent="0.15">
      <c r="A26" s="111" t="s">
        <v>113</v>
      </c>
      <c r="B26" s="110" t="s">
        <v>99</v>
      </c>
      <c r="C26" s="110" t="s">
        <v>247</v>
      </c>
      <c r="D26" s="110" t="s">
        <v>348</v>
      </c>
      <c r="E26" s="112" t="s">
        <v>114</v>
      </c>
      <c r="F26" s="110" t="s">
        <v>149</v>
      </c>
      <c r="G26" s="110" t="s">
        <v>251</v>
      </c>
      <c r="H26" s="110" t="s">
        <v>321</v>
      </c>
      <c r="I26" s="114" t="s">
        <v>338</v>
      </c>
      <c r="J26" s="110" t="s">
        <v>335</v>
      </c>
      <c r="K26" s="110" t="s">
        <v>252</v>
      </c>
      <c r="L26" s="110" t="s">
        <v>250</v>
      </c>
    </row>
    <row r="27" spans="1:12" ht="24" customHeight="1" x14ac:dyDescent="0.15">
      <c r="A27" s="111" t="s">
        <v>112</v>
      </c>
      <c r="B27" s="110" t="s">
        <v>99</v>
      </c>
      <c r="C27" s="110" t="s">
        <v>254</v>
      </c>
      <c r="D27" s="110" t="s">
        <v>348</v>
      </c>
      <c r="E27" s="112" t="s">
        <v>114</v>
      </c>
      <c r="F27" s="110" t="s">
        <v>149</v>
      </c>
      <c r="G27" s="110" t="s">
        <v>255</v>
      </c>
      <c r="H27" s="110" t="s">
        <v>321</v>
      </c>
      <c r="I27" s="114" t="s">
        <v>338</v>
      </c>
      <c r="J27" s="110" t="s">
        <v>335</v>
      </c>
      <c r="K27" s="110" t="s">
        <v>256</v>
      </c>
      <c r="L27" s="110" t="s">
        <v>253</v>
      </c>
    </row>
    <row r="28" spans="1:12" ht="24" customHeight="1" x14ac:dyDescent="0.15">
      <c r="A28" s="110" t="s">
        <v>320</v>
      </c>
      <c r="B28" s="110" t="s">
        <v>99</v>
      </c>
      <c r="C28" s="110" t="s">
        <v>326</v>
      </c>
      <c r="D28" s="110" t="s">
        <v>127</v>
      </c>
      <c r="E28" s="112">
        <v>1099</v>
      </c>
      <c r="F28" s="110" t="s">
        <v>149</v>
      </c>
      <c r="G28" s="110" t="s">
        <v>214</v>
      </c>
      <c r="H28" s="110" t="s">
        <v>131</v>
      </c>
      <c r="I28" s="115" t="s">
        <v>345</v>
      </c>
      <c r="J28" s="110" t="s">
        <v>335</v>
      </c>
      <c r="K28" s="110" t="s">
        <v>215</v>
      </c>
      <c r="L28" s="110" t="s">
        <v>213</v>
      </c>
    </row>
    <row r="29" spans="1:12" ht="24" customHeight="1" x14ac:dyDescent="0.15">
      <c r="A29" s="110" t="s">
        <v>59</v>
      </c>
      <c r="B29" s="110" t="s">
        <v>99</v>
      </c>
      <c r="C29" s="110" t="s">
        <v>202</v>
      </c>
      <c r="D29" s="110" t="s">
        <v>318</v>
      </c>
      <c r="E29" s="112" t="s">
        <v>114</v>
      </c>
      <c r="F29" s="110" t="s">
        <v>149</v>
      </c>
      <c r="G29" s="110" t="s">
        <v>203</v>
      </c>
      <c r="H29" s="110" t="s">
        <v>322</v>
      </c>
      <c r="I29" s="115" t="s">
        <v>345</v>
      </c>
      <c r="J29" s="110" t="s">
        <v>335</v>
      </c>
      <c r="K29" s="110" t="s">
        <v>204</v>
      </c>
      <c r="L29" s="110" t="s">
        <v>201</v>
      </c>
    </row>
    <row r="30" spans="1:12" ht="24" customHeight="1" x14ac:dyDescent="0.15">
      <c r="A30" s="110" t="s">
        <v>32</v>
      </c>
      <c r="B30" s="110" t="s">
        <v>99</v>
      </c>
      <c r="C30" s="110" t="s">
        <v>76</v>
      </c>
      <c r="D30" s="110" t="s">
        <v>127</v>
      </c>
      <c r="E30" s="112">
        <v>1099</v>
      </c>
      <c r="F30" s="110" t="s">
        <v>149</v>
      </c>
      <c r="G30" s="110" t="s">
        <v>189</v>
      </c>
      <c r="H30" s="110" t="s">
        <v>131</v>
      </c>
      <c r="I30" s="115" t="s">
        <v>345</v>
      </c>
      <c r="J30" s="110" t="s">
        <v>335</v>
      </c>
      <c r="K30" s="110" t="s">
        <v>192</v>
      </c>
      <c r="L30" s="110" t="s">
        <v>193</v>
      </c>
    </row>
    <row r="31" spans="1:12" ht="24" customHeight="1" x14ac:dyDescent="0.15">
      <c r="A31" s="111" t="s">
        <v>105</v>
      </c>
      <c r="B31" s="110" t="s">
        <v>99</v>
      </c>
      <c r="C31" s="110" t="s">
        <v>265</v>
      </c>
      <c r="D31" s="110" t="s">
        <v>348</v>
      </c>
      <c r="E31" s="112" t="s">
        <v>114</v>
      </c>
      <c r="F31" s="110" t="s">
        <v>149</v>
      </c>
      <c r="G31" s="110" t="s">
        <v>266</v>
      </c>
      <c r="H31" s="110" t="s">
        <v>321</v>
      </c>
      <c r="I31" s="114" t="s">
        <v>338</v>
      </c>
      <c r="J31" s="110" t="s">
        <v>335</v>
      </c>
      <c r="K31" s="110" t="s">
        <v>267</v>
      </c>
      <c r="L31" s="110" t="s">
        <v>264</v>
      </c>
    </row>
    <row r="32" spans="1:12" ht="24" customHeight="1" x14ac:dyDescent="0.15">
      <c r="A32" s="111" t="s">
        <v>119</v>
      </c>
      <c r="B32" s="110" t="s">
        <v>99</v>
      </c>
      <c r="C32" s="110" t="s">
        <v>285</v>
      </c>
      <c r="D32" s="110" t="s">
        <v>348</v>
      </c>
      <c r="E32" s="112" t="s">
        <v>114</v>
      </c>
      <c r="F32" s="110" t="s">
        <v>149</v>
      </c>
      <c r="G32" s="110" t="s">
        <v>286</v>
      </c>
      <c r="H32" s="110" t="s">
        <v>321</v>
      </c>
      <c r="I32" s="115" t="s">
        <v>345</v>
      </c>
      <c r="J32" s="110" t="s">
        <v>335</v>
      </c>
      <c r="K32" s="110" t="s">
        <v>287</v>
      </c>
      <c r="L32" s="110" t="s">
        <v>284</v>
      </c>
    </row>
    <row r="33" spans="1:12" ht="24" customHeight="1" x14ac:dyDescent="0.15">
      <c r="A33" s="110" t="s">
        <v>61</v>
      </c>
      <c r="B33" s="110" t="s">
        <v>99</v>
      </c>
      <c r="C33" s="110" t="s">
        <v>199</v>
      </c>
      <c r="D33" s="110" t="s">
        <v>138</v>
      </c>
      <c r="E33" s="112">
        <v>1099</v>
      </c>
      <c r="F33" s="110" t="s">
        <v>200</v>
      </c>
      <c r="G33" s="110" t="s">
        <v>196</v>
      </c>
      <c r="H33" s="110" t="s">
        <v>131</v>
      </c>
      <c r="I33" s="115" t="s">
        <v>345</v>
      </c>
      <c r="J33" s="110" t="s">
        <v>335</v>
      </c>
      <c r="K33" s="110" t="s">
        <v>197</v>
      </c>
      <c r="L33" s="110" t="s">
        <v>198</v>
      </c>
    </row>
    <row r="34" spans="1:12" ht="24" customHeight="1" x14ac:dyDescent="0.15">
      <c r="A34" s="111" t="s">
        <v>107</v>
      </c>
      <c r="B34" s="110" t="s">
        <v>99</v>
      </c>
      <c r="C34" s="110" t="s">
        <v>278</v>
      </c>
      <c r="D34" s="110" t="s">
        <v>348</v>
      </c>
      <c r="E34" s="112" t="s">
        <v>114</v>
      </c>
      <c r="F34" s="110" t="s">
        <v>129</v>
      </c>
      <c r="G34" s="110" t="s">
        <v>279</v>
      </c>
      <c r="H34" s="110" t="s">
        <v>321</v>
      </c>
      <c r="I34" s="114" t="s">
        <v>338</v>
      </c>
      <c r="J34" s="110" t="s">
        <v>335</v>
      </c>
      <c r="K34" s="110" t="s">
        <v>280</v>
      </c>
      <c r="L34" s="110" t="s">
        <v>277</v>
      </c>
    </row>
    <row r="35" spans="1:12" ht="24" customHeight="1" x14ac:dyDescent="0.15">
      <c r="A35" s="110" t="s">
        <v>339</v>
      </c>
      <c r="B35" s="110" t="s">
        <v>99</v>
      </c>
      <c r="C35" s="110" t="s">
        <v>182</v>
      </c>
      <c r="D35" s="110" t="s">
        <v>133</v>
      </c>
      <c r="E35" s="112">
        <v>1099</v>
      </c>
      <c r="F35" s="110" t="s">
        <v>129</v>
      </c>
      <c r="G35" s="110" t="s">
        <v>183</v>
      </c>
      <c r="H35" s="110" t="s">
        <v>131</v>
      </c>
      <c r="I35" s="114" t="s">
        <v>343</v>
      </c>
      <c r="J35" s="110" t="s">
        <v>335</v>
      </c>
      <c r="K35" s="110" t="s">
        <v>184</v>
      </c>
      <c r="L35" s="110" t="s">
        <v>341</v>
      </c>
    </row>
    <row r="36" spans="1:12" ht="24" customHeight="1" x14ac:dyDescent="0.15">
      <c r="A36" s="110" t="s">
        <v>109</v>
      </c>
      <c r="B36" s="110" t="s">
        <v>99</v>
      </c>
      <c r="C36" s="110" t="s">
        <v>307</v>
      </c>
      <c r="D36" s="110" t="s">
        <v>348</v>
      </c>
      <c r="E36" s="112" t="s">
        <v>114</v>
      </c>
      <c r="F36" s="110" t="s">
        <v>129</v>
      </c>
      <c r="G36" s="110" t="s">
        <v>248</v>
      </c>
      <c r="H36" s="110" t="s">
        <v>321</v>
      </c>
      <c r="I36" s="114" t="s">
        <v>338</v>
      </c>
      <c r="J36" s="110" t="s">
        <v>335</v>
      </c>
      <c r="K36" s="110" t="s">
        <v>308</v>
      </c>
      <c r="L36" s="110" t="s">
        <v>306</v>
      </c>
    </row>
    <row r="37" spans="1:12" ht="24" customHeight="1" x14ac:dyDescent="0.15">
      <c r="A37" s="110" t="s">
        <v>110</v>
      </c>
      <c r="B37" s="110" t="s">
        <v>99</v>
      </c>
      <c r="C37" s="110" t="s">
        <v>310</v>
      </c>
      <c r="D37" s="110" t="s">
        <v>348</v>
      </c>
      <c r="E37" s="112" t="s">
        <v>114</v>
      </c>
      <c r="F37" s="110" t="s">
        <v>129</v>
      </c>
      <c r="G37" s="110" t="s">
        <v>248</v>
      </c>
      <c r="H37" s="110" t="s">
        <v>321</v>
      </c>
      <c r="I37" s="114" t="s">
        <v>338</v>
      </c>
      <c r="J37" s="110" t="s">
        <v>335</v>
      </c>
      <c r="K37" s="110" t="s">
        <v>311</v>
      </c>
      <c r="L37" s="110" t="s">
        <v>309</v>
      </c>
    </row>
    <row r="38" spans="1:12" ht="24" customHeight="1" x14ac:dyDescent="0.15">
      <c r="A38" s="110" t="s">
        <v>34</v>
      </c>
      <c r="B38" s="110" t="s">
        <v>99</v>
      </c>
      <c r="C38" s="110" t="s">
        <v>195</v>
      </c>
      <c r="D38" s="110" t="s">
        <v>138</v>
      </c>
      <c r="E38" s="112">
        <v>1099</v>
      </c>
      <c r="F38" s="110" t="s">
        <v>129</v>
      </c>
      <c r="G38" s="110" t="s">
        <v>196</v>
      </c>
      <c r="H38" s="110" t="s">
        <v>131</v>
      </c>
      <c r="I38" s="115" t="s">
        <v>345</v>
      </c>
      <c r="J38" s="110" t="s">
        <v>335</v>
      </c>
      <c r="K38" s="110" t="s">
        <v>197</v>
      </c>
      <c r="L38" s="110" t="s">
        <v>194</v>
      </c>
    </row>
    <row r="39" spans="1:12" ht="24" customHeight="1" x14ac:dyDescent="0.15">
      <c r="A39" s="110" t="s">
        <v>116</v>
      </c>
      <c r="B39" s="110" t="s">
        <v>99</v>
      </c>
      <c r="C39" s="110" t="s">
        <v>182</v>
      </c>
      <c r="D39" s="110" t="s">
        <v>133</v>
      </c>
      <c r="E39" s="112">
        <v>1099</v>
      </c>
      <c r="F39" s="110" t="s">
        <v>129</v>
      </c>
      <c r="G39" s="110" t="s">
        <v>183</v>
      </c>
      <c r="H39" s="110" t="s">
        <v>131</v>
      </c>
      <c r="I39" s="114" t="s">
        <v>343</v>
      </c>
      <c r="J39" s="110" t="s">
        <v>335</v>
      </c>
      <c r="K39" s="110" t="s">
        <v>184</v>
      </c>
      <c r="L39" s="110" t="s">
        <v>181</v>
      </c>
    </row>
    <row r="40" spans="1:12" ht="24" customHeight="1" x14ac:dyDescent="0.15">
      <c r="A40" s="110" t="s">
        <v>36</v>
      </c>
      <c r="B40" s="110" t="s">
        <v>99</v>
      </c>
      <c r="C40" s="110" t="s">
        <v>217</v>
      </c>
      <c r="D40" s="110" t="s">
        <v>133</v>
      </c>
      <c r="E40" s="112">
        <v>1099</v>
      </c>
      <c r="F40" s="110" t="s">
        <v>129</v>
      </c>
      <c r="G40" s="110" t="s">
        <v>218</v>
      </c>
      <c r="H40" s="110" t="s">
        <v>131</v>
      </c>
      <c r="I40" s="115" t="s">
        <v>345</v>
      </c>
      <c r="J40" s="110" t="s">
        <v>335</v>
      </c>
      <c r="K40" s="110" t="s">
        <v>219</v>
      </c>
      <c r="L40" s="110" t="s">
        <v>216</v>
      </c>
    </row>
    <row r="41" spans="1:12" ht="24" customHeight="1" x14ac:dyDescent="0.15">
      <c r="A41" s="110" t="s">
        <v>123</v>
      </c>
      <c r="B41" s="110" t="s">
        <v>99</v>
      </c>
      <c r="C41" s="110" t="s">
        <v>300</v>
      </c>
      <c r="D41" s="110" t="s">
        <v>348</v>
      </c>
      <c r="E41" s="112" t="s">
        <v>114</v>
      </c>
      <c r="F41" s="110" t="s">
        <v>129</v>
      </c>
      <c r="G41" s="110" t="s">
        <v>301</v>
      </c>
      <c r="H41" s="110" t="s">
        <v>321</v>
      </c>
      <c r="I41" s="114" t="s">
        <v>338</v>
      </c>
      <c r="J41" s="110" t="s">
        <v>335</v>
      </c>
      <c r="K41" s="110" t="s">
        <v>302</v>
      </c>
      <c r="L41" s="110" t="s">
        <v>299</v>
      </c>
    </row>
    <row r="42" spans="1:12" ht="24" customHeight="1" x14ac:dyDescent="0.15">
      <c r="A42" s="110" t="s">
        <v>340</v>
      </c>
      <c r="B42" s="110" t="s">
        <v>99</v>
      </c>
      <c r="C42" s="110" t="s">
        <v>182</v>
      </c>
      <c r="D42" s="110" t="s">
        <v>133</v>
      </c>
      <c r="E42" s="112">
        <v>1099</v>
      </c>
      <c r="F42" s="110" t="s">
        <v>129</v>
      </c>
      <c r="G42" s="110" t="s">
        <v>183</v>
      </c>
      <c r="H42" s="110" t="s">
        <v>131</v>
      </c>
      <c r="I42" s="114" t="s">
        <v>343</v>
      </c>
      <c r="J42" s="110" t="s">
        <v>335</v>
      </c>
      <c r="K42" s="110" t="s">
        <v>184</v>
      </c>
      <c r="L42" s="110" t="s">
        <v>342</v>
      </c>
    </row>
    <row r="43" spans="1:12" ht="24" customHeight="1" x14ac:dyDescent="0.15">
      <c r="A43" s="111" t="s">
        <v>118</v>
      </c>
      <c r="B43" s="110" t="s">
        <v>99</v>
      </c>
      <c r="C43" s="110" t="s">
        <v>156</v>
      </c>
      <c r="D43" s="110" t="s">
        <v>348</v>
      </c>
      <c r="E43" s="112" t="s">
        <v>114</v>
      </c>
      <c r="F43" s="110" t="s">
        <v>228</v>
      </c>
      <c r="G43" s="110" t="s">
        <v>282</v>
      </c>
      <c r="H43" s="110" t="s">
        <v>321</v>
      </c>
      <c r="I43" s="114" t="s">
        <v>338</v>
      </c>
      <c r="J43" s="110" t="s">
        <v>335</v>
      </c>
      <c r="K43" s="110" t="s">
        <v>283</v>
      </c>
      <c r="L43" s="110" t="s">
        <v>281</v>
      </c>
    </row>
    <row r="44" spans="1:12" ht="24" customHeight="1" x14ac:dyDescent="0.15">
      <c r="A44" s="110" t="s">
        <v>22</v>
      </c>
      <c r="B44" s="110" t="s">
        <v>98</v>
      </c>
      <c r="C44" s="110" t="s">
        <v>171</v>
      </c>
      <c r="D44" s="110" t="s">
        <v>167</v>
      </c>
      <c r="E44" s="112" t="s">
        <v>114</v>
      </c>
      <c r="F44" s="110" t="s">
        <v>172</v>
      </c>
      <c r="G44" s="110" t="s">
        <v>173</v>
      </c>
      <c r="H44" s="110" t="s">
        <v>323</v>
      </c>
      <c r="I44" s="115" t="s">
        <v>345</v>
      </c>
      <c r="J44" s="110" t="s">
        <v>335</v>
      </c>
      <c r="K44" s="110" t="s">
        <v>174</v>
      </c>
      <c r="L44" s="110" t="s">
        <v>170</v>
      </c>
    </row>
    <row r="45" spans="1:12" ht="24" customHeight="1" x14ac:dyDescent="0.15">
      <c r="A45" s="110" t="s">
        <v>18</v>
      </c>
      <c r="B45" s="110" t="s">
        <v>98</v>
      </c>
      <c r="C45" s="110" t="s">
        <v>148</v>
      </c>
      <c r="D45" s="110" t="s">
        <v>147</v>
      </c>
      <c r="E45" s="112">
        <v>1099</v>
      </c>
      <c r="F45" s="110" t="s">
        <v>149</v>
      </c>
      <c r="G45" s="110" t="s">
        <v>150</v>
      </c>
      <c r="H45" s="110" t="s">
        <v>323</v>
      </c>
      <c r="I45" s="115" t="s">
        <v>345</v>
      </c>
      <c r="J45" s="110" t="s">
        <v>335</v>
      </c>
      <c r="K45" s="110" t="s">
        <v>151</v>
      </c>
      <c r="L45" s="110" t="s">
        <v>146</v>
      </c>
    </row>
    <row r="46" spans="1:12" ht="24" customHeight="1" x14ac:dyDescent="0.15">
      <c r="A46" s="110" t="s">
        <v>124</v>
      </c>
      <c r="B46" s="110" t="s">
        <v>98</v>
      </c>
      <c r="C46" s="110" t="s">
        <v>20</v>
      </c>
      <c r="D46" s="110" t="s">
        <v>167</v>
      </c>
      <c r="E46" s="112" t="s">
        <v>114</v>
      </c>
      <c r="F46" s="110" t="s">
        <v>149</v>
      </c>
      <c r="G46" s="110" t="s">
        <v>175</v>
      </c>
      <c r="H46" s="110" t="s">
        <v>161</v>
      </c>
      <c r="I46" s="115" t="s">
        <v>345</v>
      </c>
      <c r="J46" s="110" t="s">
        <v>335</v>
      </c>
      <c r="K46" s="110" t="s">
        <v>176</v>
      </c>
      <c r="L46" s="110" t="s">
        <v>324</v>
      </c>
    </row>
    <row r="47" spans="1:12" ht="24" customHeight="1" x14ac:dyDescent="0.15">
      <c r="A47" s="110" t="s">
        <v>63</v>
      </c>
      <c r="B47" s="110" t="s">
        <v>98</v>
      </c>
      <c r="C47" s="110" t="s">
        <v>178</v>
      </c>
      <c r="D47" s="110" t="s">
        <v>167</v>
      </c>
      <c r="E47" s="112">
        <v>1099</v>
      </c>
      <c r="F47" s="110" t="s">
        <v>149</v>
      </c>
      <c r="G47" s="110" t="s">
        <v>179</v>
      </c>
      <c r="H47" s="110" t="s">
        <v>323</v>
      </c>
      <c r="I47" s="115" t="s">
        <v>345</v>
      </c>
      <c r="J47" s="110" t="s">
        <v>335</v>
      </c>
      <c r="K47" s="110" t="s">
        <v>180</v>
      </c>
      <c r="L47" s="110" t="s">
        <v>177</v>
      </c>
    </row>
    <row r="48" spans="1:12" ht="24" customHeight="1" x14ac:dyDescent="0.15">
      <c r="A48" s="110" t="s">
        <v>19</v>
      </c>
      <c r="B48" s="110" t="s">
        <v>98</v>
      </c>
      <c r="C48" s="110" t="s">
        <v>153</v>
      </c>
      <c r="D48" s="110" t="s">
        <v>147</v>
      </c>
      <c r="E48" s="112" t="s">
        <v>114</v>
      </c>
      <c r="F48" s="110" t="s">
        <v>149</v>
      </c>
      <c r="G48" s="110" t="s">
        <v>325</v>
      </c>
      <c r="H48" s="110" t="s">
        <v>161</v>
      </c>
      <c r="I48" s="115" t="s">
        <v>345</v>
      </c>
      <c r="J48" s="110" t="s">
        <v>335</v>
      </c>
      <c r="K48" s="110" t="s">
        <v>151</v>
      </c>
      <c r="L48" s="110" t="s">
        <v>152</v>
      </c>
    </row>
    <row r="49" spans="1:12" ht="24" customHeight="1" x14ac:dyDescent="0.15">
      <c r="A49" s="110" t="s">
        <v>125</v>
      </c>
      <c r="B49" s="110" t="s">
        <v>98</v>
      </c>
      <c r="C49" s="110" t="s">
        <v>143</v>
      </c>
      <c r="D49" s="110" t="s">
        <v>142</v>
      </c>
      <c r="E49" s="112" t="s">
        <v>114</v>
      </c>
      <c r="F49" s="110" t="s">
        <v>129</v>
      </c>
      <c r="G49" s="110" t="s">
        <v>144</v>
      </c>
      <c r="H49" s="110" t="s">
        <v>161</v>
      </c>
      <c r="I49" s="115" t="s">
        <v>345</v>
      </c>
      <c r="J49" s="110" t="s">
        <v>335</v>
      </c>
      <c r="K49" s="110" t="s">
        <v>145</v>
      </c>
      <c r="L49" s="110" t="s">
        <v>141</v>
      </c>
    </row>
    <row r="50" spans="1:12" ht="24" customHeight="1" x14ac:dyDescent="0.15">
      <c r="A50" s="110" t="s">
        <v>24</v>
      </c>
      <c r="B50" s="110" t="s">
        <v>98</v>
      </c>
      <c r="C50" s="110" t="s">
        <v>156</v>
      </c>
      <c r="D50" s="110" t="s">
        <v>155</v>
      </c>
      <c r="E50" s="112" t="s">
        <v>114</v>
      </c>
      <c r="F50" s="110" t="s">
        <v>129</v>
      </c>
      <c r="G50" s="110" t="s">
        <v>157</v>
      </c>
      <c r="H50" s="110" t="s">
        <v>161</v>
      </c>
      <c r="I50" s="115" t="s">
        <v>345</v>
      </c>
      <c r="J50" s="110" t="s">
        <v>335</v>
      </c>
      <c r="K50" s="110" t="s">
        <v>158</v>
      </c>
      <c r="L50" s="110" t="s">
        <v>154</v>
      </c>
    </row>
    <row r="51" spans="1:12" ht="24" customHeight="1" x14ac:dyDescent="0.15">
      <c r="A51" s="110" t="s">
        <v>21</v>
      </c>
      <c r="B51" s="110" t="s">
        <v>98</v>
      </c>
      <c r="C51" s="110" t="s">
        <v>20</v>
      </c>
      <c r="D51" s="110" t="s">
        <v>167</v>
      </c>
      <c r="E51" s="112" t="s">
        <v>114</v>
      </c>
      <c r="F51" s="110" t="s">
        <v>129</v>
      </c>
      <c r="G51" s="110" t="s">
        <v>168</v>
      </c>
      <c r="H51" s="110" t="s">
        <v>323</v>
      </c>
      <c r="I51" s="115" t="s">
        <v>345</v>
      </c>
      <c r="J51" s="110" t="s">
        <v>335</v>
      </c>
      <c r="K51" s="110" t="s">
        <v>169</v>
      </c>
      <c r="L51" s="110" t="s">
        <v>166</v>
      </c>
    </row>
    <row r="52" spans="1:12" ht="24" customHeight="1" x14ac:dyDescent="0.15">
      <c r="A52" s="110" t="s">
        <v>347</v>
      </c>
      <c r="B52" s="110" t="s">
        <v>98</v>
      </c>
      <c r="C52" s="110" t="s">
        <v>163</v>
      </c>
      <c r="D52" s="110" t="s">
        <v>147</v>
      </c>
      <c r="E52" s="112">
        <v>1099</v>
      </c>
      <c r="F52" s="110" t="s">
        <v>129</v>
      </c>
      <c r="G52" s="110" t="s">
        <v>164</v>
      </c>
      <c r="H52" s="110" t="s">
        <v>323</v>
      </c>
      <c r="I52" s="115" t="s">
        <v>345</v>
      </c>
      <c r="J52" s="110" t="s">
        <v>335</v>
      </c>
      <c r="K52" s="110" t="s">
        <v>165</v>
      </c>
      <c r="L52" s="110" t="s">
        <v>162</v>
      </c>
    </row>
    <row r="53" spans="1:12" ht="24" customHeight="1" x14ac:dyDescent="0.15">
      <c r="A53" s="110" t="s">
        <v>16</v>
      </c>
      <c r="B53" s="110" t="s">
        <v>98</v>
      </c>
      <c r="C53" s="110" t="s">
        <v>143</v>
      </c>
      <c r="D53" s="110" t="s">
        <v>142</v>
      </c>
      <c r="E53" s="112" t="s">
        <v>114</v>
      </c>
      <c r="F53" s="110" t="s">
        <v>129</v>
      </c>
      <c r="G53" s="110" t="s">
        <v>160</v>
      </c>
      <c r="H53" s="110" t="s">
        <v>161</v>
      </c>
      <c r="I53" s="115" t="s">
        <v>345</v>
      </c>
      <c r="J53" s="110" t="s">
        <v>335</v>
      </c>
      <c r="K53" s="110" t="s">
        <v>145</v>
      </c>
      <c r="L53" s="110" t="s">
        <v>159</v>
      </c>
    </row>
  </sheetData>
  <autoFilter ref="A1:L53" xr:uid="{13497E3F-2498-4B3E-9736-09F15B226D3F}">
    <sortState xmlns:xlrd2="http://schemas.microsoft.com/office/spreadsheetml/2017/richdata2" ref="A2:L53">
      <sortCondition descending="1" ref="B1:B53"/>
    </sortState>
  </autoFilter>
  <phoneticPr fontId="3"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966C-BFF1-4A2A-BFA2-0935DFAAA8ED}">
  <sheetPr codeName="Sheet2"/>
  <dimension ref="B1:AI60"/>
  <sheetViews>
    <sheetView showGridLines="0" topLeftCell="B1" zoomScaleNormal="100" workbookViewId="0">
      <selection activeCell="V38" sqref="V38"/>
    </sheetView>
  </sheetViews>
  <sheetFormatPr baseColWidth="10" defaultColWidth="9" defaultRowHeight="12" x14ac:dyDescent="0.15"/>
  <cols>
    <col min="1" max="1" width="11.33203125" style="12" customWidth="1"/>
    <col min="2" max="2" width="11.33203125" style="54" customWidth="1"/>
    <col min="3" max="3" width="1.6640625" style="12" customWidth="1"/>
    <col min="4" max="4" width="29.1640625" style="12" customWidth="1"/>
    <col min="5" max="5" width="1.5" style="12" hidden="1" customWidth="1"/>
    <col min="6" max="6" width="8.83203125" style="12" hidden="1" customWidth="1"/>
    <col min="7" max="7" width="5.6640625" style="52" customWidth="1"/>
    <col min="8" max="8" width="4" style="12" hidden="1" customWidth="1"/>
    <col min="9" max="9" width="1.1640625" style="19" customWidth="1"/>
    <col min="10" max="10" width="29.6640625" style="12" bestFit="1" customWidth="1"/>
    <col min="11" max="12" width="4" style="12" hidden="1" customWidth="1"/>
    <col min="13" max="13" width="5.33203125" style="52" customWidth="1"/>
    <col min="14" max="14" width="4" style="12" hidden="1" customWidth="1"/>
    <col min="15" max="15" width="1.1640625" style="19" customWidth="1"/>
    <col min="16" max="16" width="29.5" style="12" customWidth="1"/>
    <col min="17" max="18" width="0.6640625" style="12" customWidth="1"/>
    <col min="19" max="19" width="5.33203125" style="52" bestFit="1" customWidth="1"/>
    <col min="20" max="20" width="4" style="12" hidden="1" customWidth="1"/>
    <col min="21" max="21" width="1.1640625" style="19" customWidth="1"/>
    <col min="22" max="22" width="31" style="12" bestFit="1" customWidth="1"/>
    <col min="23" max="24" width="4" style="12" hidden="1" customWidth="1"/>
    <col min="25" max="25" width="5.33203125" style="52" bestFit="1" customWidth="1"/>
    <col min="26" max="26" width="1.1640625" style="71" customWidth="1"/>
    <col min="27" max="27" width="3.5" style="71" hidden="1" customWidth="1"/>
    <col min="28" max="28" width="29.6640625" style="12" bestFit="1" customWidth="1"/>
    <col min="29" max="29" width="4" style="12" hidden="1" customWidth="1"/>
    <col min="30" max="30" width="5.33203125" style="12" bestFit="1" customWidth="1"/>
    <col min="31" max="32" width="8.1640625" style="17" customWidth="1"/>
    <col min="33" max="16384" width="9" style="12"/>
  </cols>
  <sheetData>
    <row r="1" spans="2:35" ht="12.75" customHeight="1" x14ac:dyDescent="0.15"/>
    <row r="2" spans="2:35" ht="12.75" customHeight="1" x14ac:dyDescent="0.15">
      <c r="B2" s="1"/>
      <c r="C2" s="2"/>
      <c r="D2" s="75" t="s">
        <v>1</v>
      </c>
      <c r="E2" s="75"/>
      <c r="F2" s="75"/>
      <c r="G2" s="76"/>
      <c r="H2" s="75"/>
      <c r="I2" s="77"/>
      <c r="J2" s="78" t="s">
        <v>5</v>
      </c>
      <c r="K2" s="75"/>
      <c r="L2" s="75"/>
      <c r="M2" s="76"/>
      <c r="N2" s="75"/>
      <c r="O2" s="79"/>
      <c r="P2" s="80" t="s">
        <v>2</v>
      </c>
      <c r="Q2" s="75"/>
      <c r="R2" s="75"/>
      <c r="S2" s="76"/>
      <c r="T2" s="80"/>
      <c r="U2" s="81"/>
      <c r="V2" s="82" t="s">
        <v>3</v>
      </c>
      <c r="W2" s="2"/>
      <c r="X2" s="2"/>
      <c r="Y2" s="11"/>
      <c r="Z2" s="64"/>
      <c r="AA2" s="64"/>
      <c r="AB2" s="85" t="s">
        <v>4</v>
      </c>
      <c r="AC2" s="2"/>
      <c r="AD2" s="2"/>
    </row>
    <row r="3" spans="2:35" s="17" customFormat="1" x14ac:dyDescent="0.15">
      <c r="B3" s="13" t="s">
        <v>6</v>
      </c>
      <c r="C3" s="14"/>
      <c r="D3" s="14"/>
      <c r="E3" s="14"/>
      <c r="F3" s="14"/>
      <c r="G3" s="15">
        <f>SUM(G4:G6)</f>
        <v>0.2</v>
      </c>
      <c r="H3" s="14"/>
      <c r="I3" s="16"/>
      <c r="J3" s="14"/>
      <c r="K3" s="14"/>
      <c r="L3" s="14"/>
      <c r="M3" s="15">
        <f>SUM(M4:M6)</f>
        <v>0.2</v>
      </c>
      <c r="N3" s="14"/>
      <c r="O3" s="16"/>
      <c r="P3" s="14"/>
      <c r="Q3" s="14"/>
      <c r="R3" s="14"/>
      <c r="S3" s="15">
        <f>SUM(S4:S6)</f>
        <v>0.2</v>
      </c>
      <c r="T3" s="14"/>
      <c r="U3" s="16"/>
      <c r="V3" s="14"/>
      <c r="W3" s="14"/>
      <c r="X3" s="14"/>
      <c r="Y3" s="15">
        <f>SUM(Y4:Y6)</f>
        <v>0.25</v>
      </c>
      <c r="Z3" s="65"/>
      <c r="AA3" s="65"/>
      <c r="AB3" s="14"/>
      <c r="AC3" s="14"/>
      <c r="AD3" s="15">
        <f>SUM(AD4:AD6)</f>
        <v>0.25</v>
      </c>
    </row>
    <row r="4" spans="2:35" s="19" customFormat="1" x14ac:dyDescent="0.15">
      <c r="B4" s="18" t="s">
        <v>7</v>
      </c>
      <c r="D4" s="20" t="s">
        <v>8</v>
      </c>
      <c r="E4" s="20"/>
      <c r="F4" s="20"/>
      <c r="G4" s="21">
        <v>5.0000000000000001E-3</v>
      </c>
      <c r="H4" s="20"/>
      <c r="J4" s="22" t="s">
        <v>9</v>
      </c>
      <c r="K4" s="20"/>
      <c r="L4" s="20"/>
      <c r="M4" s="21">
        <v>5.0000000000000001E-3</v>
      </c>
      <c r="N4" s="20"/>
      <c r="P4" s="22" t="s">
        <v>8</v>
      </c>
      <c r="Q4" s="23"/>
      <c r="R4" s="23"/>
      <c r="S4" s="24">
        <v>5.0000000000000001E-3</v>
      </c>
      <c r="T4" s="20"/>
      <c r="V4" s="20" t="s">
        <v>9</v>
      </c>
      <c r="Y4" s="21">
        <v>5.0000000000000001E-3</v>
      </c>
      <c r="Z4" s="37"/>
      <c r="AA4" s="37"/>
      <c r="AB4" s="20" t="s">
        <v>9</v>
      </c>
      <c r="AD4" s="21">
        <v>5.0000000000000001E-3</v>
      </c>
      <c r="AE4" s="16"/>
      <c r="AF4" s="16"/>
    </row>
    <row r="5" spans="2:35" s="19" customFormat="1" x14ac:dyDescent="0.15">
      <c r="B5" s="18" t="s">
        <v>10</v>
      </c>
      <c r="D5" s="20" t="s">
        <v>11</v>
      </c>
      <c r="E5" s="20"/>
      <c r="F5" s="20"/>
      <c r="G5" s="21">
        <v>0.19500000000000001</v>
      </c>
      <c r="H5" s="20"/>
      <c r="J5" s="22" t="s">
        <v>11</v>
      </c>
      <c r="K5" s="20"/>
      <c r="L5" s="20"/>
      <c r="M5" s="21">
        <v>0.19500000000000001</v>
      </c>
      <c r="N5" s="20"/>
      <c r="O5" s="20"/>
      <c r="P5" s="22" t="s">
        <v>12</v>
      </c>
      <c r="Q5" s="20"/>
      <c r="R5" s="20"/>
      <c r="S5" s="21">
        <v>0.14499999999999999</v>
      </c>
      <c r="T5" s="20"/>
      <c r="U5" s="20"/>
      <c r="V5" s="20" t="s">
        <v>13</v>
      </c>
      <c r="Y5" s="21">
        <v>0.245</v>
      </c>
      <c r="Z5" s="37"/>
      <c r="AA5" s="37"/>
      <c r="AB5" s="20" t="s">
        <v>11</v>
      </c>
      <c r="AD5" s="21">
        <v>0.245</v>
      </c>
      <c r="AE5" s="16"/>
      <c r="AF5" s="16"/>
    </row>
    <row r="6" spans="2:35" s="19" customFormat="1" x14ac:dyDescent="0.15">
      <c r="B6" s="18"/>
      <c r="D6" s="20"/>
      <c r="E6" s="20"/>
      <c r="F6" s="20"/>
      <c r="G6" s="21"/>
      <c r="H6" s="20"/>
      <c r="J6" s="86"/>
      <c r="K6" s="86"/>
      <c r="L6" s="86"/>
      <c r="M6" s="87"/>
      <c r="N6" s="86"/>
      <c r="O6" s="86"/>
      <c r="P6" s="22" t="s">
        <v>62</v>
      </c>
      <c r="Q6" s="22"/>
      <c r="R6" s="22"/>
      <c r="S6" s="24">
        <v>0.05</v>
      </c>
      <c r="T6" s="20"/>
      <c r="U6" s="20"/>
      <c r="V6" s="20"/>
      <c r="Y6" s="21"/>
      <c r="Z6" s="37"/>
      <c r="AA6" s="37"/>
      <c r="AB6" s="20"/>
      <c r="AE6" s="16"/>
      <c r="AF6" s="16"/>
    </row>
    <row r="7" spans="2:35" s="17" customFormat="1" x14ac:dyDescent="0.15">
      <c r="B7" s="26" t="s">
        <v>14</v>
      </c>
      <c r="C7" s="27"/>
      <c r="D7" s="27"/>
      <c r="E7" s="27"/>
      <c r="F7" s="27"/>
      <c r="G7" s="28">
        <f>SUM(G8:G15)</f>
        <v>0.2</v>
      </c>
      <c r="H7" s="27"/>
      <c r="I7" s="29"/>
      <c r="J7" s="27"/>
      <c r="K7" s="27"/>
      <c r="L7" s="27"/>
      <c r="M7" s="28">
        <f>SUM(M8:M15)</f>
        <v>0.19999999999999998</v>
      </c>
      <c r="N7" s="27"/>
      <c r="O7" s="29"/>
      <c r="P7" s="27"/>
      <c r="Q7" s="27"/>
      <c r="R7" s="27"/>
      <c r="S7" s="28">
        <f>SUM(S8:S15)</f>
        <v>0.2</v>
      </c>
      <c r="T7" s="27"/>
      <c r="U7" s="29"/>
      <c r="V7" s="27"/>
      <c r="W7" s="27"/>
      <c r="X7" s="27"/>
      <c r="Y7" s="28">
        <f>SUM(Y8:Y15)</f>
        <v>0.15</v>
      </c>
      <c r="Z7" s="66"/>
      <c r="AA7" s="66"/>
      <c r="AB7" s="27"/>
      <c r="AC7" s="27"/>
      <c r="AD7" s="28">
        <f>SUM(AD8:AD15)</f>
        <v>0.15000000000000002</v>
      </c>
    </row>
    <row r="8" spans="2:35" s="19" customFormat="1" x14ac:dyDescent="0.15">
      <c r="B8" s="18" t="s">
        <v>0</v>
      </c>
      <c r="D8" s="31" t="s">
        <v>15</v>
      </c>
      <c r="E8" s="31"/>
      <c r="F8" s="31"/>
      <c r="G8" s="98">
        <v>0.06</v>
      </c>
      <c r="H8" s="31"/>
      <c r="I8" s="31"/>
      <c r="J8" s="25" t="s">
        <v>16</v>
      </c>
      <c r="K8" s="31"/>
      <c r="L8" s="31"/>
      <c r="M8" s="98">
        <v>0.06</v>
      </c>
      <c r="N8" s="31"/>
      <c r="O8" s="25"/>
      <c r="P8" s="25"/>
      <c r="Q8" s="25"/>
      <c r="R8" s="25"/>
      <c r="S8" s="25"/>
      <c r="T8" s="32"/>
      <c r="U8" s="25"/>
      <c r="V8" s="25" t="s">
        <v>16</v>
      </c>
      <c r="W8" s="25"/>
      <c r="X8" s="25"/>
      <c r="Y8" s="98">
        <v>0.06</v>
      </c>
      <c r="Z8" s="99"/>
      <c r="AA8" s="99"/>
      <c r="AB8" s="25"/>
      <c r="AC8" s="25"/>
      <c r="AD8" s="25"/>
      <c r="AE8" s="16"/>
      <c r="AF8" s="16"/>
      <c r="AG8" s="16"/>
      <c r="AH8" s="16"/>
      <c r="AI8" s="16"/>
    </row>
    <row r="9" spans="2:35" s="19" customFormat="1" x14ac:dyDescent="0.15">
      <c r="B9" s="18" t="s">
        <v>17</v>
      </c>
      <c r="D9" s="25" t="s">
        <v>18</v>
      </c>
      <c r="E9" s="25"/>
      <c r="F9" s="25"/>
      <c r="G9" s="98">
        <v>0.04</v>
      </c>
      <c r="H9" s="25"/>
      <c r="I9" s="25"/>
      <c r="J9" s="36" t="s">
        <v>80</v>
      </c>
      <c r="K9" s="36"/>
      <c r="L9" s="36"/>
      <c r="M9" s="99">
        <v>0.03</v>
      </c>
      <c r="N9" s="36"/>
      <c r="O9" s="36"/>
      <c r="P9" s="36" t="s">
        <v>80</v>
      </c>
      <c r="Q9" s="36"/>
      <c r="R9" s="36"/>
      <c r="S9" s="99">
        <v>0.06</v>
      </c>
      <c r="T9" s="25"/>
      <c r="U9" s="25"/>
      <c r="V9" s="25"/>
      <c r="W9" s="25"/>
      <c r="X9" s="25"/>
      <c r="Y9" s="25"/>
      <c r="Z9" s="36"/>
      <c r="AA9" s="36"/>
      <c r="AB9" s="36" t="s">
        <v>80</v>
      </c>
      <c r="AC9" s="25"/>
      <c r="AD9" s="98">
        <v>0.05</v>
      </c>
      <c r="AF9" s="16"/>
      <c r="AG9" s="16"/>
      <c r="AH9" s="16"/>
      <c r="AI9" s="16"/>
    </row>
    <row r="10" spans="2:35" s="19" customFormat="1" x14ac:dyDescent="0.15">
      <c r="B10" s="18"/>
      <c r="D10" s="25" t="s">
        <v>19</v>
      </c>
      <c r="E10" s="25"/>
      <c r="F10" s="25"/>
      <c r="G10" s="98">
        <v>0.04</v>
      </c>
      <c r="H10" s="25"/>
      <c r="I10" s="25"/>
      <c r="J10" s="25"/>
      <c r="K10" s="25"/>
      <c r="L10" s="25"/>
      <c r="M10" s="25"/>
      <c r="N10" s="25"/>
      <c r="O10" s="25"/>
      <c r="P10" s="25" t="s">
        <v>18</v>
      </c>
      <c r="Q10" s="25"/>
      <c r="R10" s="25"/>
      <c r="S10" s="98">
        <v>0.04</v>
      </c>
      <c r="T10" s="25"/>
      <c r="U10" s="25"/>
      <c r="V10" s="25"/>
      <c r="W10" s="25"/>
      <c r="X10" s="25"/>
      <c r="Y10" s="25"/>
      <c r="Z10" s="36"/>
      <c r="AA10" s="36"/>
      <c r="AB10" s="25" t="s">
        <v>18</v>
      </c>
      <c r="AC10" s="25"/>
      <c r="AD10" s="98">
        <v>0.05</v>
      </c>
      <c r="AE10" s="30"/>
      <c r="AF10" s="16"/>
      <c r="AG10" s="16"/>
      <c r="AH10" s="16"/>
      <c r="AI10" s="16"/>
    </row>
    <row r="11" spans="2:35" s="19" customFormat="1" x14ac:dyDescent="0.15">
      <c r="B11" s="18" t="s">
        <v>20</v>
      </c>
      <c r="D11" s="25" t="s">
        <v>21</v>
      </c>
      <c r="E11" s="25"/>
      <c r="F11" s="25"/>
      <c r="G11" s="98">
        <v>0.03</v>
      </c>
      <c r="H11" s="25"/>
      <c r="I11" s="25"/>
      <c r="J11" s="25" t="s">
        <v>21</v>
      </c>
      <c r="K11" s="25"/>
      <c r="L11" s="25"/>
      <c r="M11" s="98">
        <v>0.03</v>
      </c>
      <c r="N11" s="25"/>
      <c r="O11" s="25"/>
      <c r="P11" s="36"/>
      <c r="Q11" s="36"/>
      <c r="R11" s="36"/>
      <c r="S11" s="36"/>
      <c r="T11" s="25"/>
      <c r="U11" s="25"/>
      <c r="V11" s="25" t="s">
        <v>21</v>
      </c>
      <c r="W11" s="25"/>
      <c r="X11" s="25"/>
      <c r="Y11" s="98">
        <v>0.03</v>
      </c>
      <c r="Z11" s="99"/>
      <c r="AA11" s="99"/>
      <c r="AB11" s="25"/>
      <c r="AC11" s="25"/>
      <c r="AD11" s="25"/>
      <c r="AE11" s="16"/>
      <c r="AF11" s="16"/>
      <c r="AG11" s="16"/>
      <c r="AH11" s="16"/>
      <c r="AI11" s="16"/>
    </row>
    <row r="12" spans="2:35" s="19" customFormat="1" x14ac:dyDescent="0.15">
      <c r="B12" s="18"/>
      <c r="D12" s="25"/>
      <c r="E12" s="25"/>
      <c r="F12" s="25"/>
      <c r="G12" s="98"/>
      <c r="H12" s="25"/>
      <c r="I12" s="25"/>
      <c r="J12" s="25" t="s">
        <v>22</v>
      </c>
      <c r="K12" s="25"/>
      <c r="L12" s="25"/>
      <c r="M12" s="98">
        <v>0.02</v>
      </c>
      <c r="N12" s="25"/>
      <c r="O12" s="25"/>
      <c r="P12" s="25"/>
      <c r="Q12" s="25"/>
      <c r="R12" s="25"/>
      <c r="S12" s="103"/>
      <c r="T12" s="25"/>
      <c r="U12" s="25"/>
      <c r="V12" s="25" t="s">
        <v>22</v>
      </c>
      <c r="W12" s="25"/>
      <c r="X12" s="25"/>
      <c r="Y12" s="98">
        <v>0.02</v>
      </c>
      <c r="Z12" s="99"/>
      <c r="AA12" s="99"/>
      <c r="AB12" s="25" t="s">
        <v>63</v>
      </c>
      <c r="AC12" s="25"/>
      <c r="AD12" s="98">
        <v>0.05</v>
      </c>
      <c r="AE12" s="16"/>
      <c r="AF12" s="16"/>
      <c r="AG12" s="16"/>
      <c r="AH12" s="16"/>
      <c r="AI12" s="16"/>
    </row>
    <row r="13" spans="2:35" s="19" customFormat="1" x14ac:dyDescent="0.15">
      <c r="B13" s="18"/>
      <c r="D13" s="25"/>
      <c r="E13" s="25"/>
      <c r="F13" s="25"/>
      <c r="G13" s="98"/>
      <c r="H13" s="25"/>
      <c r="I13" s="25"/>
      <c r="J13" s="25" t="s">
        <v>90</v>
      </c>
      <c r="K13" s="25"/>
      <c r="L13" s="25"/>
      <c r="M13" s="98">
        <v>0.03</v>
      </c>
      <c r="N13" s="25"/>
      <c r="O13" s="25"/>
      <c r="P13" s="25" t="s">
        <v>90</v>
      </c>
      <c r="Q13" s="25"/>
      <c r="R13" s="25"/>
      <c r="S13" s="98">
        <v>0.05</v>
      </c>
      <c r="T13" s="25"/>
      <c r="U13" s="25"/>
      <c r="V13" s="25" t="s">
        <v>90</v>
      </c>
      <c r="W13" s="25"/>
      <c r="X13" s="25"/>
      <c r="Y13" s="98">
        <v>0.04</v>
      </c>
      <c r="Z13" s="99"/>
      <c r="AA13" s="99"/>
      <c r="AB13" s="25"/>
      <c r="AC13" s="25"/>
      <c r="AD13" s="98"/>
      <c r="AE13" s="74"/>
      <c r="AF13" s="16"/>
      <c r="AG13" s="16"/>
      <c r="AH13" s="16"/>
      <c r="AI13" s="16"/>
    </row>
    <row r="14" spans="2:35" s="19" customFormat="1" x14ac:dyDescent="0.15">
      <c r="B14" s="18" t="s">
        <v>23</v>
      </c>
      <c r="D14" s="32" t="s">
        <v>24</v>
      </c>
      <c r="E14" s="25"/>
      <c r="F14" s="25"/>
      <c r="G14" s="98">
        <v>0.03</v>
      </c>
      <c r="H14" s="25"/>
      <c r="I14" s="25"/>
      <c r="J14" s="32" t="s">
        <v>24</v>
      </c>
      <c r="K14" s="25"/>
      <c r="L14" s="25"/>
      <c r="M14" s="98">
        <v>0.03</v>
      </c>
      <c r="N14" s="25"/>
      <c r="O14" s="25"/>
      <c r="P14" s="32" t="s">
        <v>24</v>
      </c>
      <c r="Q14" s="31"/>
      <c r="R14" s="31"/>
      <c r="S14" s="98">
        <v>0.05</v>
      </c>
      <c r="T14" s="25"/>
      <c r="U14" s="25"/>
      <c r="V14" s="25"/>
      <c r="W14" s="25"/>
      <c r="X14" s="25"/>
      <c r="Y14" s="24"/>
      <c r="Z14" s="58"/>
      <c r="AA14" s="58"/>
      <c r="AB14" s="25"/>
      <c r="AC14" s="25"/>
      <c r="AD14" s="25"/>
      <c r="AE14" s="16"/>
      <c r="AF14" s="16"/>
      <c r="AG14" s="16"/>
      <c r="AH14" s="16"/>
      <c r="AI14" s="16"/>
    </row>
    <row r="15" spans="2:35" s="19" customFormat="1" x14ac:dyDescent="0.15">
      <c r="B15" s="18"/>
      <c r="D15" s="32"/>
      <c r="E15" s="25"/>
      <c r="F15" s="25"/>
      <c r="G15" s="98"/>
      <c r="H15" s="25"/>
      <c r="I15" s="25"/>
      <c r="J15" s="32"/>
      <c r="K15" s="25"/>
      <c r="L15" s="25"/>
      <c r="M15" s="98"/>
      <c r="N15" s="25"/>
      <c r="O15" s="25"/>
      <c r="P15" s="32"/>
      <c r="Q15" s="31"/>
      <c r="R15" s="31"/>
      <c r="S15" s="98"/>
      <c r="T15" s="25"/>
      <c r="U15" s="25"/>
      <c r="V15" s="25"/>
      <c r="W15" s="25"/>
      <c r="X15" s="25"/>
      <c r="Y15" s="24"/>
      <c r="Z15" s="58"/>
      <c r="AA15" s="58"/>
      <c r="AB15" s="25"/>
      <c r="AC15" s="25"/>
      <c r="AD15" s="25"/>
      <c r="AE15" s="16"/>
      <c r="AF15" s="16"/>
      <c r="AG15" s="16"/>
      <c r="AH15" s="16"/>
      <c r="AI15" s="16"/>
    </row>
    <row r="16" spans="2:35" s="17" customFormat="1" x14ac:dyDescent="0.15">
      <c r="B16" s="33" t="s">
        <v>25</v>
      </c>
      <c r="C16" s="34"/>
      <c r="D16" s="34"/>
      <c r="E16" s="34"/>
      <c r="F16" s="34"/>
      <c r="G16" s="35">
        <f>SUM(G17:G26)</f>
        <v>0.60000000000000009</v>
      </c>
      <c r="H16" s="34"/>
      <c r="I16" s="29"/>
      <c r="J16" s="34"/>
      <c r="K16" s="34"/>
      <c r="L16" s="34"/>
      <c r="M16" s="35">
        <f>SUM(M17:M26)</f>
        <v>0.60000000000000009</v>
      </c>
      <c r="N16" s="34"/>
      <c r="O16" s="29"/>
      <c r="P16" s="34"/>
      <c r="Q16" s="34"/>
      <c r="R16" s="34"/>
      <c r="S16" s="35">
        <f>SUM(S17:S26)</f>
        <v>0.60000000000000009</v>
      </c>
      <c r="T16" s="34"/>
      <c r="U16" s="29"/>
      <c r="V16" s="34"/>
      <c r="W16" s="34"/>
      <c r="X16" s="34"/>
      <c r="Y16" s="35">
        <f>SUM(Y17:Y26)</f>
        <v>0.60000000000000009</v>
      </c>
      <c r="Z16" s="66"/>
      <c r="AA16" s="66"/>
      <c r="AB16" s="34"/>
      <c r="AC16" s="34"/>
      <c r="AD16" s="35">
        <f>SUM(AD17:AD26)</f>
        <v>0.60000000000000009</v>
      </c>
      <c r="AF16" s="16"/>
      <c r="AG16" s="16"/>
      <c r="AH16" s="16"/>
      <c r="AI16" s="16"/>
    </row>
    <row r="17" spans="2:35" s="19" customFormat="1" x14ac:dyDescent="0.15">
      <c r="B17" s="18" t="s">
        <v>26</v>
      </c>
      <c r="D17" s="19" t="s">
        <v>65</v>
      </c>
      <c r="G17" s="21">
        <v>0.25</v>
      </c>
      <c r="J17" s="19" t="s">
        <v>27</v>
      </c>
      <c r="K17" s="73"/>
      <c r="L17" s="73"/>
      <c r="M17" s="24">
        <v>0.3</v>
      </c>
      <c r="N17" s="73"/>
      <c r="O17" s="73"/>
      <c r="P17" s="25" t="s">
        <v>64</v>
      </c>
      <c r="Q17" s="25"/>
      <c r="R17" s="25"/>
      <c r="S17" s="24">
        <v>0.3</v>
      </c>
      <c r="T17" s="25"/>
      <c r="U17" s="25"/>
      <c r="V17" s="25" t="s">
        <v>64</v>
      </c>
      <c r="W17" s="25"/>
      <c r="X17" s="25"/>
      <c r="Y17" s="24">
        <v>0.3</v>
      </c>
      <c r="Z17" s="88"/>
      <c r="AA17" s="88"/>
      <c r="AB17" s="19" t="s">
        <v>27</v>
      </c>
      <c r="AC17" s="73"/>
      <c r="AD17" s="24">
        <v>0.3</v>
      </c>
      <c r="AE17" s="16"/>
      <c r="AF17" s="16"/>
      <c r="AG17" s="16"/>
      <c r="AH17" s="16"/>
      <c r="AI17" s="16"/>
    </row>
    <row r="18" spans="2:35" s="19" customFormat="1" x14ac:dyDescent="0.15">
      <c r="B18" s="18"/>
      <c r="G18" s="21"/>
      <c r="J18" s="25"/>
      <c r="M18" s="21"/>
      <c r="P18" s="25" t="s">
        <v>34</v>
      </c>
      <c r="S18" s="21">
        <v>0.05</v>
      </c>
      <c r="V18" s="25"/>
      <c r="Y18" s="21"/>
      <c r="Z18" s="37"/>
      <c r="AA18" s="37"/>
      <c r="AB18" s="25"/>
      <c r="AD18" s="21"/>
      <c r="AE18" s="16"/>
      <c r="AF18" s="16"/>
      <c r="AG18" s="16"/>
      <c r="AH18" s="16"/>
      <c r="AI18" s="16"/>
    </row>
    <row r="19" spans="2:35" s="19" customFormat="1" x14ac:dyDescent="0.15">
      <c r="B19" s="18" t="s">
        <v>28</v>
      </c>
      <c r="D19" s="19" t="s">
        <v>29</v>
      </c>
      <c r="G19" s="21">
        <v>0.19</v>
      </c>
      <c r="J19" s="25" t="s">
        <v>30</v>
      </c>
      <c r="M19" s="21">
        <v>0.06</v>
      </c>
      <c r="P19" s="25" t="s">
        <v>30</v>
      </c>
      <c r="S19" s="21">
        <v>0.06</v>
      </c>
      <c r="V19" s="25" t="s">
        <v>30</v>
      </c>
      <c r="Y19" s="21">
        <v>0.06</v>
      </c>
      <c r="Z19" s="37"/>
      <c r="AA19" s="37"/>
      <c r="AE19" s="16"/>
      <c r="AF19" s="16"/>
      <c r="AG19" s="16"/>
      <c r="AH19" s="16"/>
      <c r="AI19" s="16"/>
    </row>
    <row r="20" spans="2:35" s="19" customFormat="1" x14ac:dyDescent="0.15">
      <c r="B20" s="18"/>
      <c r="D20" s="25" t="s">
        <v>31</v>
      </c>
      <c r="G20" s="21">
        <v>0.04</v>
      </c>
      <c r="J20" s="25" t="s">
        <v>31</v>
      </c>
      <c r="M20" s="21">
        <v>0.08</v>
      </c>
      <c r="P20" s="25"/>
      <c r="S20" s="21"/>
      <c r="V20" s="25" t="s">
        <v>31</v>
      </c>
      <c r="Y20" s="21">
        <v>7.0000000000000007E-2</v>
      </c>
      <c r="Z20" s="37"/>
      <c r="AA20" s="37"/>
      <c r="AB20" s="25" t="s">
        <v>31</v>
      </c>
      <c r="AD20" s="21">
        <v>0.11</v>
      </c>
      <c r="AE20" s="16"/>
      <c r="AF20" s="16"/>
      <c r="AG20" s="16"/>
      <c r="AH20" s="16"/>
      <c r="AI20" s="16"/>
    </row>
    <row r="21" spans="2:35" s="19" customFormat="1" x14ac:dyDescent="0.15">
      <c r="B21" s="18"/>
      <c r="D21" s="25" t="s">
        <v>32</v>
      </c>
      <c r="G21" s="21">
        <v>0.04</v>
      </c>
      <c r="J21" s="25" t="s">
        <v>32</v>
      </c>
      <c r="M21" s="21">
        <v>0.08</v>
      </c>
      <c r="P21" s="25" t="s">
        <v>32</v>
      </c>
      <c r="S21" s="21">
        <v>0.06</v>
      </c>
      <c r="V21" s="25" t="s">
        <v>32</v>
      </c>
      <c r="Y21" s="21">
        <v>7.0000000000000007E-2</v>
      </c>
      <c r="Z21" s="37"/>
      <c r="AA21" s="37"/>
      <c r="AB21" s="25" t="s">
        <v>32</v>
      </c>
      <c r="AD21" s="21">
        <v>0.11</v>
      </c>
      <c r="AE21" s="16"/>
      <c r="AF21" s="16"/>
      <c r="AG21" s="16"/>
      <c r="AH21" s="16"/>
      <c r="AI21" s="16"/>
    </row>
    <row r="22" spans="2:35" s="19" customFormat="1" x14ac:dyDescent="0.15">
      <c r="B22" s="18" t="s">
        <v>60</v>
      </c>
      <c r="G22" s="21"/>
      <c r="J22" s="25"/>
      <c r="M22" s="21"/>
      <c r="P22" s="25" t="s">
        <v>61</v>
      </c>
      <c r="S22" s="21">
        <v>0.05</v>
      </c>
      <c r="V22" s="25"/>
      <c r="Y22" s="21"/>
      <c r="Z22" s="37"/>
      <c r="AA22" s="37"/>
      <c r="AB22" s="25"/>
      <c r="AD22" s="21"/>
      <c r="AE22" s="16"/>
      <c r="AF22" s="16"/>
      <c r="AG22" s="16"/>
      <c r="AH22" s="16"/>
      <c r="AI22" s="16"/>
    </row>
    <row r="23" spans="2:35" s="19" customFormat="1" x14ac:dyDescent="0.15">
      <c r="B23" s="18"/>
      <c r="G23" s="21"/>
      <c r="J23" s="25"/>
      <c r="M23" s="21"/>
      <c r="P23" s="25"/>
      <c r="S23" s="21"/>
      <c r="V23" s="25"/>
      <c r="Y23" s="21"/>
      <c r="Z23" s="37"/>
      <c r="AA23" s="37"/>
      <c r="AB23" s="25"/>
      <c r="AD23" s="21"/>
      <c r="AE23" s="16"/>
      <c r="AF23" s="16"/>
      <c r="AG23" s="16"/>
      <c r="AH23" s="16"/>
      <c r="AI23" s="16"/>
    </row>
    <row r="24" spans="2:35" s="19" customFormat="1" x14ac:dyDescent="0.15">
      <c r="B24" s="18" t="s">
        <v>33</v>
      </c>
      <c r="D24" s="19" t="s">
        <v>59</v>
      </c>
      <c r="G24" s="21">
        <v>0.04</v>
      </c>
      <c r="J24" s="19" t="s">
        <v>59</v>
      </c>
      <c r="M24" s="21">
        <v>0.04</v>
      </c>
      <c r="P24" s="25" t="s">
        <v>92</v>
      </c>
      <c r="Q24" s="25"/>
      <c r="R24" s="25"/>
      <c r="S24" s="24">
        <v>0.04</v>
      </c>
      <c r="T24" s="73"/>
      <c r="U24" s="73"/>
      <c r="V24" s="36" t="s">
        <v>91</v>
      </c>
      <c r="W24" s="83"/>
      <c r="X24" s="83"/>
      <c r="Y24" s="24">
        <v>0.03</v>
      </c>
      <c r="Z24" s="88"/>
      <c r="AA24" s="88"/>
      <c r="AB24" s="83"/>
      <c r="AC24" s="83"/>
      <c r="AD24" s="87"/>
      <c r="AE24" s="16"/>
      <c r="AF24" s="16"/>
      <c r="AG24" s="16"/>
      <c r="AH24" s="16"/>
      <c r="AI24" s="16"/>
    </row>
    <row r="25" spans="2:35" s="19" customFormat="1" x14ac:dyDescent="0.15">
      <c r="B25" s="18"/>
      <c r="G25" s="21"/>
      <c r="J25" s="25"/>
      <c r="M25" s="21"/>
      <c r="V25" s="25" t="s">
        <v>36</v>
      </c>
      <c r="Y25" s="21">
        <v>0.03</v>
      </c>
      <c r="Z25" s="37"/>
      <c r="AA25" s="37"/>
      <c r="AB25" s="25" t="s">
        <v>34</v>
      </c>
      <c r="AD25" s="21">
        <v>0.04</v>
      </c>
      <c r="AE25" s="21"/>
      <c r="AF25" s="16"/>
      <c r="AG25" s="16"/>
      <c r="AH25" s="16"/>
      <c r="AI25" s="16"/>
    </row>
    <row r="26" spans="2:35" s="19" customFormat="1" ht="12" customHeight="1" x14ac:dyDescent="0.15">
      <c r="B26" s="18" t="s">
        <v>37</v>
      </c>
      <c r="D26" s="25" t="s">
        <v>38</v>
      </c>
      <c r="G26" s="21">
        <v>0.04</v>
      </c>
      <c r="J26" s="25" t="s">
        <v>38</v>
      </c>
      <c r="M26" s="21">
        <v>0.04</v>
      </c>
      <c r="P26" s="25" t="s">
        <v>38</v>
      </c>
      <c r="S26" s="21">
        <v>0.04</v>
      </c>
      <c r="V26" s="25" t="s">
        <v>38</v>
      </c>
      <c r="Y26" s="21">
        <v>0.04</v>
      </c>
      <c r="Z26" s="37"/>
      <c r="AA26" s="37"/>
      <c r="AB26" s="25" t="s">
        <v>38</v>
      </c>
      <c r="AD26" s="21">
        <v>0.04</v>
      </c>
      <c r="AE26" s="16"/>
      <c r="AF26" s="16"/>
      <c r="AG26" s="16"/>
      <c r="AH26" s="16"/>
      <c r="AI26" s="16"/>
    </row>
    <row r="27" spans="2:35" s="17" customFormat="1" x14ac:dyDescent="0.15">
      <c r="B27" s="38"/>
      <c r="C27" s="38"/>
      <c r="D27" s="39"/>
      <c r="E27" s="39"/>
      <c r="F27" s="39"/>
      <c r="G27" s="40"/>
      <c r="H27" s="41"/>
      <c r="I27" s="29"/>
      <c r="J27" s="39"/>
      <c r="K27" s="39"/>
      <c r="L27" s="39"/>
      <c r="M27" s="40"/>
      <c r="N27" s="41"/>
      <c r="O27" s="29"/>
      <c r="P27" s="39"/>
      <c r="Q27" s="39"/>
      <c r="R27" s="39"/>
      <c r="S27" s="40"/>
      <c r="T27" s="41"/>
      <c r="U27" s="29"/>
      <c r="V27" s="39"/>
      <c r="W27" s="39"/>
      <c r="X27" s="39"/>
      <c r="Y27" s="40"/>
      <c r="Z27" s="66"/>
      <c r="AA27" s="66"/>
      <c r="AB27" s="39"/>
      <c r="AC27" s="39"/>
      <c r="AD27" s="39"/>
    </row>
    <row r="28" spans="2:35" s="17" customFormat="1" x14ac:dyDescent="0.15">
      <c r="B28" s="42"/>
      <c r="C28" s="43"/>
      <c r="D28" s="43"/>
      <c r="E28" s="43"/>
      <c r="F28" s="43"/>
      <c r="G28" s="42">
        <f>G3+G7+G16+G27</f>
        <v>1</v>
      </c>
      <c r="H28" s="42">
        <f>H3+H7+H16+H27</f>
        <v>0</v>
      </c>
      <c r="I28" s="44">
        <f>I3+I7+I16+I27</f>
        <v>0</v>
      </c>
      <c r="J28" s="42"/>
      <c r="K28" s="42">
        <f>K3+K7+K16+K27</f>
        <v>0</v>
      </c>
      <c r="L28" s="42">
        <f>L3+L7+L16+L27</f>
        <v>0</v>
      </c>
      <c r="M28" s="42">
        <f>M3+M7+M16+M27</f>
        <v>1</v>
      </c>
      <c r="N28" s="42">
        <f>N3+N7+N16+N27</f>
        <v>0</v>
      </c>
      <c r="O28" s="44">
        <f>O3+O7+O16+O27</f>
        <v>0</v>
      </c>
      <c r="P28" s="42"/>
      <c r="Q28" s="42">
        <f>Q3+Q7+Q16+Q27</f>
        <v>0</v>
      </c>
      <c r="R28" s="42">
        <f>R3+R7+R16+R27</f>
        <v>0</v>
      </c>
      <c r="S28" s="42">
        <f>S3+S7+S16+S27</f>
        <v>1</v>
      </c>
      <c r="T28" s="42">
        <f>T3+T7+T16+T27</f>
        <v>0</v>
      </c>
      <c r="U28" s="44">
        <f>U3+U7+U16+U27</f>
        <v>0</v>
      </c>
      <c r="V28" s="42"/>
      <c r="W28" s="42">
        <f>W3+W7+W16+W27</f>
        <v>0</v>
      </c>
      <c r="X28" s="42">
        <f>X3+X7+X16+X27</f>
        <v>0</v>
      </c>
      <c r="Y28" s="42">
        <f>Y3+Y7+Y16+Y27</f>
        <v>1</v>
      </c>
      <c r="Z28" s="69"/>
      <c r="AA28" s="69"/>
      <c r="AB28" s="42"/>
      <c r="AC28" s="42">
        <f>AC3+AC7+AC16+AC27</f>
        <v>0</v>
      </c>
      <c r="AD28" s="42">
        <f>AD3+AD7+AD16+AD27</f>
        <v>1</v>
      </c>
    </row>
    <row r="29" spans="2:35" s="16" customFormat="1" x14ac:dyDescent="0.15">
      <c r="B29" s="44"/>
      <c r="C29" s="45"/>
      <c r="D29" s="45"/>
      <c r="E29" s="45"/>
      <c r="F29" s="45"/>
      <c r="G29" s="44"/>
      <c r="H29" s="44"/>
      <c r="I29" s="44"/>
      <c r="J29" s="44"/>
      <c r="K29" s="44"/>
      <c r="L29" s="44"/>
      <c r="M29" s="44"/>
      <c r="N29" s="44"/>
      <c r="O29" s="44"/>
      <c r="P29" s="44"/>
      <c r="Q29" s="44"/>
      <c r="R29" s="44"/>
      <c r="S29" s="44"/>
      <c r="T29" s="44"/>
      <c r="U29" s="44"/>
      <c r="V29" s="44"/>
      <c r="W29" s="44"/>
      <c r="X29" s="44"/>
      <c r="Y29" s="44"/>
      <c r="Z29" s="44"/>
      <c r="AA29" s="44"/>
      <c r="AB29" s="44"/>
      <c r="AC29" s="44"/>
      <c r="AD29" s="44"/>
    </row>
    <row r="30" spans="2:35" x14ac:dyDescent="0.15">
      <c r="B30" s="46" t="s">
        <v>47</v>
      </c>
      <c r="C30" s="47"/>
      <c r="D30" s="47"/>
      <c r="E30" s="47"/>
      <c r="F30" s="47"/>
      <c r="G30" s="48"/>
      <c r="H30" s="49"/>
      <c r="I30" s="49"/>
      <c r="J30" s="49"/>
      <c r="K30" s="49"/>
      <c r="L30" s="49"/>
      <c r="M30" s="48"/>
      <c r="N30" s="49"/>
      <c r="O30" s="49"/>
      <c r="P30" s="49"/>
      <c r="Q30" s="49"/>
      <c r="R30" s="49"/>
      <c r="S30" s="48"/>
      <c r="T30" s="49"/>
      <c r="U30" s="49"/>
      <c r="V30" s="49"/>
      <c r="W30" s="49"/>
      <c r="X30" s="50"/>
      <c r="Y30" s="48"/>
      <c r="Z30" s="48"/>
      <c r="AA30" s="48"/>
      <c r="AB30" s="47"/>
      <c r="AC30" s="47" t="s">
        <v>39</v>
      </c>
      <c r="AD30" s="47"/>
    </row>
    <row r="31" spans="2:35" s="19" customFormat="1" x14ac:dyDescent="0.15">
      <c r="B31" s="18"/>
      <c r="D31" s="20"/>
      <c r="E31" s="20"/>
      <c r="F31" s="20"/>
      <c r="G31" s="21"/>
      <c r="H31" s="20"/>
      <c r="J31" s="22" t="s">
        <v>48</v>
      </c>
      <c r="K31" s="20"/>
      <c r="L31" s="20"/>
      <c r="M31" s="21">
        <v>5.0000000000000001E-3</v>
      </c>
      <c r="N31" s="20"/>
      <c r="P31" s="25" t="s">
        <v>49</v>
      </c>
      <c r="Q31" s="20"/>
      <c r="R31" s="20"/>
      <c r="S31" s="21">
        <v>5.0000000000000001E-3</v>
      </c>
      <c r="V31" s="25" t="s">
        <v>50</v>
      </c>
      <c r="Y31" s="21">
        <v>5.0000000000000001E-3</v>
      </c>
      <c r="Z31" s="37"/>
      <c r="AA31" s="37"/>
      <c r="AB31" s="25"/>
      <c r="AE31" s="16"/>
      <c r="AF31" s="16"/>
    </row>
    <row r="32" spans="2:35" s="19" customFormat="1" x14ac:dyDescent="0.15">
      <c r="B32" s="18"/>
      <c r="G32" s="21"/>
      <c r="J32" s="22" t="s">
        <v>51</v>
      </c>
      <c r="M32" s="21">
        <v>5.0000000000000001E-3</v>
      </c>
      <c r="P32" s="25" t="s">
        <v>52</v>
      </c>
      <c r="S32" s="21">
        <v>5.0000000000000001E-3</v>
      </c>
      <c r="V32" s="19" t="s">
        <v>53</v>
      </c>
      <c r="Y32" s="21">
        <v>5.0000000000000001E-3</v>
      </c>
      <c r="Z32" s="37"/>
      <c r="AA32" s="37"/>
      <c r="AE32" s="16"/>
      <c r="AF32" s="16"/>
    </row>
    <row r="33" spans="2:32" s="19" customFormat="1" x14ac:dyDescent="0.15">
      <c r="B33" s="18"/>
      <c r="G33" s="21"/>
      <c r="J33" s="22" t="s">
        <v>54</v>
      </c>
      <c r="M33" s="21">
        <v>5.0000000000000001E-3</v>
      </c>
      <c r="P33" s="25" t="s">
        <v>55</v>
      </c>
      <c r="S33" s="21">
        <v>5.0000000000000001E-3</v>
      </c>
      <c r="V33" s="19" t="s">
        <v>54</v>
      </c>
      <c r="Y33" s="21">
        <v>5.0000000000000001E-3</v>
      </c>
      <c r="Z33" s="37"/>
      <c r="AA33" s="37"/>
      <c r="AE33" s="16"/>
      <c r="AF33" s="16"/>
    </row>
    <row r="34" spans="2:32" s="19" customFormat="1" x14ac:dyDescent="0.15">
      <c r="B34" s="18"/>
      <c r="G34" s="21"/>
      <c r="J34" s="22" t="s">
        <v>56</v>
      </c>
      <c r="M34" s="21">
        <v>5.0000000000000001E-3</v>
      </c>
      <c r="P34" s="25" t="s">
        <v>57</v>
      </c>
      <c r="S34" s="21">
        <v>5.0000000000000001E-3</v>
      </c>
      <c r="V34" s="19" t="s">
        <v>58</v>
      </c>
      <c r="Y34" s="21">
        <v>5.0000000000000001E-3</v>
      </c>
      <c r="Z34" s="37"/>
      <c r="AA34" s="37"/>
      <c r="AE34" s="16"/>
      <c r="AF34" s="16"/>
    </row>
    <row r="37" spans="2:32" x14ac:dyDescent="0.15">
      <c r="D37" s="89"/>
      <c r="E37" s="89"/>
      <c r="F37" s="89"/>
      <c r="G37" s="90"/>
      <c r="H37" s="89"/>
      <c r="I37" s="91"/>
      <c r="K37" s="89"/>
      <c r="L37" s="89"/>
      <c r="M37" s="90"/>
      <c r="N37" s="89"/>
      <c r="P37" s="92"/>
      <c r="Q37" s="89"/>
      <c r="R37" s="89"/>
      <c r="S37" s="90"/>
      <c r="T37" s="92"/>
      <c r="U37" s="93"/>
    </row>
    <row r="40" spans="2:32" x14ac:dyDescent="0.15">
      <c r="D40" s="51"/>
      <c r="P40" s="94"/>
      <c r="T40" s="94"/>
      <c r="U40" s="95"/>
    </row>
    <row r="41" spans="2:32" x14ac:dyDescent="0.15">
      <c r="D41" s="70"/>
    </row>
    <row r="42" spans="2:32" x14ac:dyDescent="0.15">
      <c r="D42" s="70"/>
      <c r="G42" s="17"/>
      <c r="M42" s="17"/>
      <c r="S42" s="17"/>
      <c r="Y42" s="17"/>
      <c r="AD42" s="17"/>
    </row>
    <row r="43" spans="2:32" x14ac:dyDescent="0.15">
      <c r="D43" s="70"/>
      <c r="G43" s="17"/>
      <c r="M43" s="17"/>
      <c r="S43" s="17"/>
      <c r="Y43" s="17"/>
      <c r="AD43" s="17"/>
    </row>
    <row r="44" spans="2:32" x14ac:dyDescent="0.15">
      <c r="D44" s="70"/>
      <c r="G44" s="17"/>
      <c r="M44" s="17"/>
      <c r="S44" s="17"/>
      <c r="Y44" s="17"/>
      <c r="AD44" s="17"/>
    </row>
    <row r="45" spans="2:32" x14ac:dyDescent="0.15">
      <c r="D45" s="70"/>
      <c r="G45" s="17"/>
      <c r="M45" s="17"/>
      <c r="S45" s="17"/>
      <c r="Y45" s="17"/>
      <c r="AD45" s="17"/>
    </row>
    <row r="46" spans="2:32" x14ac:dyDescent="0.15">
      <c r="D46" s="70"/>
      <c r="G46" s="17"/>
      <c r="M46" s="17"/>
      <c r="S46" s="17"/>
      <c r="Y46" s="17"/>
      <c r="AD46" s="17"/>
    </row>
    <row r="47" spans="2:32" x14ac:dyDescent="0.15">
      <c r="D47" s="70"/>
      <c r="G47" s="17"/>
      <c r="M47" s="17"/>
      <c r="S47" s="17"/>
      <c r="Y47" s="17"/>
      <c r="AD47" s="17"/>
    </row>
    <row r="48" spans="2:32" x14ac:dyDescent="0.15">
      <c r="D48" s="70"/>
      <c r="G48" s="17"/>
      <c r="M48" s="17"/>
      <c r="S48" s="17"/>
      <c r="Y48" s="17"/>
      <c r="AD48" s="17"/>
    </row>
    <row r="49" spans="4:30" x14ac:dyDescent="0.15">
      <c r="D49" s="70"/>
      <c r="G49" s="17"/>
      <c r="M49" s="17"/>
      <c r="S49" s="17"/>
      <c r="Y49" s="17"/>
      <c r="AD49" s="17"/>
    </row>
    <row r="50" spans="4:30" x14ac:dyDescent="0.15">
      <c r="D50" s="70"/>
      <c r="G50" s="17"/>
      <c r="M50" s="17"/>
      <c r="S50" s="17"/>
      <c r="Y50" s="17"/>
      <c r="AD50" s="17"/>
    </row>
    <row r="51" spans="4:30" x14ac:dyDescent="0.15">
      <c r="D51" s="70"/>
      <c r="G51" s="17"/>
      <c r="M51" s="17"/>
      <c r="S51" s="17"/>
      <c r="Y51" s="17"/>
      <c r="AD51" s="17"/>
    </row>
    <row r="52" spans="4:30" x14ac:dyDescent="0.15">
      <c r="D52" s="70"/>
      <c r="G52" s="17"/>
      <c r="M52" s="17"/>
      <c r="S52" s="17"/>
      <c r="Y52" s="17"/>
      <c r="AD52" s="17"/>
    </row>
    <row r="53" spans="4:30" x14ac:dyDescent="0.15">
      <c r="D53" s="70"/>
      <c r="G53" s="17"/>
      <c r="M53" s="17"/>
      <c r="S53" s="17"/>
      <c r="Y53" s="17"/>
      <c r="AD53" s="17"/>
    </row>
    <row r="54" spans="4:30" x14ac:dyDescent="0.15">
      <c r="D54" s="70"/>
      <c r="G54" s="17"/>
      <c r="M54" s="17"/>
      <c r="S54" s="17"/>
      <c r="Y54" s="17"/>
      <c r="AD54" s="17"/>
    </row>
    <row r="55" spans="4:30" x14ac:dyDescent="0.15">
      <c r="D55" s="70"/>
      <c r="G55" s="17"/>
      <c r="M55" s="17"/>
      <c r="S55" s="17"/>
      <c r="Y55" s="17"/>
      <c r="AD55" s="17"/>
    </row>
    <row r="56" spans="4:30" x14ac:dyDescent="0.15">
      <c r="D56" s="70"/>
      <c r="J56" s="70"/>
      <c r="K56" s="70"/>
      <c r="L56" s="70"/>
      <c r="M56" s="70"/>
      <c r="N56" s="70"/>
      <c r="O56" s="70"/>
      <c r="P56" s="70"/>
      <c r="Q56" s="70"/>
      <c r="R56" s="70"/>
      <c r="S56" s="70"/>
      <c r="T56" s="70"/>
      <c r="U56" s="70"/>
      <c r="V56" s="70"/>
      <c r="W56" s="70"/>
      <c r="X56" s="70"/>
      <c r="Y56" s="70"/>
      <c r="Z56" s="70"/>
      <c r="AA56" s="70"/>
    </row>
    <row r="57" spans="4:30" x14ac:dyDescent="0.15">
      <c r="J57" s="70"/>
      <c r="K57" s="70"/>
      <c r="L57" s="70"/>
      <c r="M57" s="70"/>
      <c r="N57" s="70"/>
      <c r="O57" s="70"/>
      <c r="P57" s="70"/>
      <c r="Q57" s="70"/>
      <c r="R57" s="70"/>
      <c r="S57" s="70"/>
      <c r="T57" s="70"/>
      <c r="U57" s="70"/>
      <c r="V57" s="70"/>
      <c r="W57" s="70"/>
      <c r="X57" s="70"/>
      <c r="Y57" s="70"/>
      <c r="Z57" s="70"/>
      <c r="AA57" s="70"/>
    </row>
    <row r="58" spans="4:30" x14ac:dyDescent="0.15">
      <c r="J58" s="70"/>
      <c r="K58" s="70"/>
      <c r="L58" s="70"/>
      <c r="M58" s="70"/>
      <c r="N58" s="70"/>
      <c r="O58" s="70"/>
      <c r="P58" s="70"/>
      <c r="Q58" s="70"/>
      <c r="R58" s="70"/>
      <c r="S58" s="70"/>
      <c r="T58" s="70"/>
      <c r="U58" s="70"/>
      <c r="V58" s="70"/>
      <c r="W58" s="70"/>
      <c r="X58" s="70"/>
      <c r="Y58" s="70"/>
      <c r="Z58" s="70" t="e">
        <f>#REF!</f>
        <v>#REF!</v>
      </c>
      <c r="AA58" s="70" t="e">
        <f>#REF!</f>
        <v>#REF!</v>
      </c>
    </row>
    <row r="59" spans="4:30" x14ac:dyDescent="0.15">
      <c r="J59" s="70"/>
    </row>
    <row r="60" spans="4:30" x14ac:dyDescent="0.15">
      <c r="J60" s="7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2DDAD-FDEB-4449-B0EB-DE768A5DEFE6}">
  <sheetPr codeName="Sheet3"/>
  <dimension ref="B2:V63"/>
  <sheetViews>
    <sheetView showGridLines="0" zoomScaleNormal="100" workbookViewId="0">
      <selection activeCell="D39" sqref="D39"/>
    </sheetView>
  </sheetViews>
  <sheetFormatPr baseColWidth="10" defaultColWidth="4.6640625" defaultRowHeight="12" x14ac:dyDescent="0.15"/>
  <cols>
    <col min="1" max="1" width="4.6640625" style="12"/>
    <col min="2" max="2" width="2.6640625" style="54" customWidth="1"/>
    <col min="3" max="3" width="10.1640625" style="12" customWidth="1"/>
    <col min="4" max="4" width="29.33203125" style="12" customWidth="1"/>
    <col min="5" max="5" width="5.33203125" style="117" bestFit="1" customWidth="1"/>
    <col min="6" max="6" width="1" style="117" customWidth="1"/>
    <col min="7" max="7" width="37" style="12" customWidth="1"/>
    <col min="8" max="8" width="7" style="52" bestFit="1" customWidth="1"/>
    <col min="9" max="9" width="10.6640625" style="119" customWidth="1"/>
    <col min="10" max="10" width="35.6640625" style="12" bestFit="1" customWidth="1"/>
    <col min="11" max="11" width="7" style="52" bestFit="1" customWidth="1"/>
    <col min="12" max="12" width="0.83203125" style="117" customWidth="1"/>
    <col min="13" max="13" width="37" style="12" customWidth="1"/>
    <col min="14" max="14" width="6.6640625" style="52" customWidth="1"/>
    <col min="15" max="15" width="15" style="12" customWidth="1"/>
    <col min="16" max="21" width="4.6640625" style="12"/>
    <col min="22" max="22" width="6.1640625" style="12" customWidth="1"/>
    <col min="23" max="16384" width="4.6640625" style="12"/>
  </cols>
  <sheetData>
    <row r="2" spans="2:22" ht="13" x14ac:dyDescent="0.15">
      <c r="B2" s="1"/>
      <c r="C2" s="2"/>
      <c r="D2" s="75" t="s">
        <v>1</v>
      </c>
      <c r="E2" s="116" t="s">
        <v>349</v>
      </c>
      <c r="F2" s="116"/>
      <c r="G2" s="78" t="s">
        <v>5</v>
      </c>
      <c r="H2" s="76"/>
      <c r="I2" s="217"/>
      <c r="J2" s="80" t="s">
        <v>2</v>
      </c>
      <c r="K2" s="76"/>
      <c r="L2" s="116"/>
      <c r="M2" s="82" t="s">
        <v>3</v>
      </c>
      <c r="N2" s="11"/>
    </row>
    <row r="3" spans="2:22" s="17" customFormat="1" x14ac:dyDescent="0.15">
      <c r="B3" s="13" t="s">
        <v>6</v>
      </c>
      <c r="C3" s="14"/>
      <c r="D3" s="14"/>
      <c r="E3" s="15">
        <f>SUM(E4:E5)</f>
        <v>0.2</v>
      </c>
      <c r="F3" s="21"/>
      <c r="G3" s="14"/>
      <c r="H3" s="175">
        <f>SUM(H4:H6)</f>
        <v>0.2</v>
      </c>
      <c r="I3" s="24"/>
      <c r="J3" s="14"/>
      <c r="K3" s="175">
        <f>SUM(K4:K6)</f>
        <v>0.2</v>
      </c>
      <c r="L3" s="21"/>
      <c r="M3" s="14"/>
      <c r="N3" s="175">
        <f>SUM(N4:N6)</f>
        <v>0.25</v>
      </c>
    </row>
    <row r="4" spans="2:22" s="19" customFormat="1" x14ac:dyDescent="0.15">
      <c r="B4" s="18" t="s">
        <v>7</v>
      </c>
      <c r="D4" s="20" t="s">
        <v>8</v>
      </c>
      <c r="E4" s="21">
        <v>5.0000000000000001E-3</v>
      </c>
      <c r="F4" s="21"/>
      <c r="G4" s="22" t="s">
        <v>9</v>
      </c>
      <c r="H4" s="21">
        <v>5.0000000000000001E-3</v>
      </c>
      <c r="I4" s="24"/>
      <c r="J4" s="22" t="s">
        <v>8</v>
      </c>
      <c r="K4" s="24">
        <v>5.0000000000000001E-3</v>
      </c>
      <c r="L4" s="24"/>
      <c r="M4" s="20" t="s">
        <v>9</v>
      </c>
      <c r="N4" s="21">
        <v>5.0000000000000001E-3</v>
      </c>
      <c r="O4" s="20"/>
      <c r="P4" s="20"/>
    </row>
    <row r="5" spans="2:22" s="19" customFormat="1" x14ac:dyDescent="0.15">
      <c r="B5" s="18" t="s">
        <v>10</v>
      </c>
      <c r="D5" s="20" t="s">
        <v>11</v>
      </c>
      <c r="E5" s="21">
        <v>0.19500000000000001</v>
      </c>
      <c r="F5" s="21"/>
      <c r="G5" s="22" t="s">
        <v>11</v>
      </c>
      <c r="H5" s="21">
        <v>0.19500000000000001</v>
      </c>
      <c r="I5" s="24"/>
      <c r="J5" s="22" t="s">
        <v>12</v>
      </c>
      <c r="K5" s="21">
        <v>0.14499999999999999</v>
      </c>
      <c r="L5" s="21"/>
      <c r="M5" s="20" t="s">
        <v>13</v>
      </c>
      <c r="N5" s="21">
        <v>0.245</v>
      </c>
      <c r="O5" s="20"/>
      <c r="P5" s="20"/>
    </row>
    <row r="6" spans="2:22" s="19" customFormat="1" x14ac:dyDescent="0.15">
      <c r="B6" s="18"/>
      <c r="D6" s="20"/>
      <c r="E6" s="21"/>
      <c r="F6" s="21"/>
      <c r="G6" s="22"/>
      <c r="H6" s="21"/>
      <c r="I6" s="24"/>
      <c r="J6" s="22" t="s">
        <v>62</v>
      </c>
      <c r="K6" s="21">
        <v>0.05</v>
      </c>
      <c r="L6" s="21"/>
      <c r="M6" s="20"/>
      <c r="N6" s="21"/>
      <c r="O6" s="20"/>
      <c r="P6" s="20"/>
    </row>
    <row r="7" spans="2:22" s="19" customFormat="1" x14ac:dyDescent="0.15">
      <c r="B7" s="18"/>
      <c r="D7" s="20"/>
      <c r="E7" s="21"/>
      <c r="F7" s="21"/>
      <c r="G7" s="22"/>
      <c r="H7" s="21"/>
      <c r="I7" s="24"/>
      <c r="J7" s="22"/>
      <c r="K7" s="21"/>
      <c r="L7" s="21"/>
      <c r="M7" s="20"/>
      <c r="N7" s="21"/>
      <c r="O7" s="20"/>
      <c r="P7" s="20"/>
    </row>
    <row r="8" spans="2:22" s="17" customFormat="1" x14ac:dyDescent="0.15">
      <c r="B8" s="26" t="s">
        <v>14</v>
      </c>
      <c r="C8" s="27"/>
      <c r="D8" s="27"/>
      <c r="E8" s="28">
        <f>SUM(E9:E15)</f>
        <v>0.2</v>
      </c>
      <c r="F8" s="118"/>
      <c r="G8" s="27"/>
      <c r="H8" s="105">
        <f>SUM(H9:H16)</f>
        <v>0.19999999999999998</v>
      </c>
      <c r="I8" s="119"/>
      <c r="J8" s="27"/>
      <c r="K8" s="105">
        <f>SUM(K9:K16)</f>
        <v>0.2</v>
      </c>
      <c r="L8" s="118"/>
      <c r="M8" s="27"/>
      <c r="N8" s="105">
        <f>SUM(N9:N16)</f>
        <v>0.15</v>
      </c>
    </row>
    <row r="9" spans="2:22" s="19" customFormat="1" x14ac:dyDescent="0.15">
      <c r="B9" s="18" t="s">
        <v>0</v>
      </c>
      <c r="D9" s="31" t="s">
        <v>15</v>
      </c>
      <c r="E9" s="21">
        <v>0.06</v>
      </c>
      <c r="F9" s="21"/>
      <c r="G9" s="25" t="s">
        <v>16</v>
      </c>
      <c r="H9" s="99">
        <v>0.06</v>
      </c>
      <c r="J9" s="25"/>
      <c r="K9" s="97"/>
      <c r="L9" s="172"/>
      <c r="M9" s="25" t="s">
        <v>16</v>
      </c>
      <c r="N9" s="99">
        <v>0.06</v>
      </c>
      <c r="O9" s="180">
        <f>N9/$N$8</f>
        <v>0.4</v>
      </c>
      <c r="P9" s="20"/>
      <c r="Q9" s="19" t="s">
        <v>16</v>
      </c>
      <c r="V9" s="98">
        <v>0.3</v>
      </c>
    </row>
    <row r="10" spans="2:22" s="19" customFormat="1" x14ac:dyDescent="0.15">
      <c r="B10" s="18" t="s">
        <v>17</v>
      </c>
      <c r="D10" s="25" t="s">
        <v>18</v>
      </c>
      <c r="E10" s="21">
        <v>0.04</v>
      </c>
      <c r="F10" s="21"/>
      <c r="G10" s="36" t="s">
        <v>80</v>
      </c>
      <c r="H10" s="99">
        <v>0.03</v>
      </c>
      <c r="I10" s="98">
        <f>H9/$H$8</f>
        <v>0.3</v>
      </c>
      <c r="J10" s="36" t="s">
        <v>80</v>
      </c>
      <c r="K10" s="99">
        <v>0.06</v>
      </c>
      <c r="L10" s="98"/>
      <c r="M10" s="25"/>
      <c r="N10" s="97"/>
      <c r="O10" s="180">
        <f t="shared" ref="O10:O14" si="0">N10/$N$8</f>
        <v>0</v>
      </c>
      <c r="P10" s="20"/>
      <c r="Q10" s="19" t="s">
        <v>80</v>
      </c>
      <c r="V10" s="98">
        <v>0.15</v>
      </c>
    </row>
    <row r="11" spans="2:22" s="19" customFormat="1" x14ac:dyDescent="0.15">
      <c r="B11" s="18"/>
      <c r="D11" s="25" t="s">
        <v>19</v>
      </c>
      <c r="E11" s="21">
        <v>0.04</v>
      </c>
      <c r="F11" s="21"/>
      <c r="G11" s="25"/>
      <c r="H11" s="97"/>
      <c r="I11" s="98">
        <f>H10/$H$8</f>
        <v>0.15</v>
      </c>
      <c r="J11" s="25" t="s">
        <v>18</v>
      </c>
      <c r="K11" s="97">
        <v>0.04</v>
      </c>
      <c r="L11" s="172"/>
      <c r="M11" s="25"/>
      <c r="N11" s="97"/>
      <c r="O11" s="180">
        <f t="shared" si="0"/>
        <v>0</v>
      </c>
      <c r="P11" s="20"/>
      <c r="Q11" s="19" t="s">
        <v>21</v>
      </c>
      <c r="V11" s="98">
        <v>0.15</v>
      </c>
    </row>
    <row r="12" spans="2:22" s="19" customFormat="1" x14ac:dyDescent="0.15">
      <c r="B12" s="18" t="s">
        <v>20</v>
      </c>
      <c r="D12" s="102" t="s">
        <v>21</v>
      </c>
      <c r="E12" s="161">
        <v>0.03</v>
      </c>
      <c r="F12" s="161"/>
      <c r="G12" s="102" t="s">
        <v>21</v>
      </c>
      <c r="H12" s="162">
        <v>0.03</v>
      </c>
      <c r="I12" s="98">
        <f t="shared" ref="I12:I15" si="1">H12/$H$8</f>
        <v>0.15</v>
      </c>
      <c r="J12" s="101"/>
      <c r="K12" s="163"/>
      <c r="L12" s="173"/>
      <c r="M12" s="102" t="s">
        <v>21</v>
      </c>
      <c r="N12" s="162">
        <v>0.03</v>
      </c>
      <c r="O12" s="180">
        <f t="shared" si="0"/>
        <v>0.2</v>
      </c>
      <c r="P12" s="20"/>
      <c r="Q12" s="19" t="s">
        <v>22</v>
      </c>
      <c r="V12" s="98">
        <v>0.1</v>
      </c>
    </row>
    <row r="13" spans="2:22" s="19" customFormat="1" x14ac:dyDescent="0.15">
      <c r="B13" s="18"/>
      <c r="D13" s="102"/>
      <c r="E13" s="161"/>
      <c r="F13" s="161"/>
      <c r="G13" s="102" t="s">
        <v>22</v>
      </c>
      <c r="H13" s="162">
        <v>0.02</v>
      </c>
      <c r="I13" s="98">
        <f t="shared" si="1"/>
        <v>0.1</v>
      </c>
      <c r="J13" s="102"/>
      <c r="K13" s="163"/>
      <c r="L13" s="173"/>
      <c r="M13" s="102" t="s">
        <v>22</v>
      </c>
      <c r="N13" s="162">
        <v>0.02</v>
      </c>
      <c r="O13" s="180">
        <f t="shared" si="0"/>
        <v>0.13333333333333333</v>
      </c>
      <c r="P13" s="20"/>
      <c r="Q13" s="19" t="s">
        <v>90</v>
      </c>
      <c r="V13" s="98">
        <v>0.15</v>
      </c>
    </row>
    <row r="14" spans="2:22" s="19" customFormat="1" x14ac:dyDescent="0.15">
      <c r="B14" s="18"/>
      <c r="D14" s="25"/>
      <c r="E14" s="21"/>
      <c r="F14" s="21"/>
      <c r="G14" s="102" t="s">
        <v>90</v>
      </c>
      <c r="H14" s="162">
        <v>0.03</v>
      </c>
      <c r="I14" s="98">
        <f t="shared" si="1"/>
        <v>0.15</v>
      </c>
      <c r="J14" s="102" t="s">
        <v>90</v>
      </c>
      <c r="K14" s="163">
        <v>0.05</v>
      </c>
      <c r="L14" s="173"/>
      <c r="M14" s="102" t="s">
        <v>90</v>
      </c>
      <c r="N14" s="162">
        <v>0.04</v>
      </c>
      <c r="O14" s="180">
        <f t="shared" si="0"/>
        <v>0.26666666666666666</v>
      </c>
      <c r="P14" s="20"/>
      <c r="Q14" s="19" t="s">
        <v>24</v>
      </c>
      <c r="V14" s="98">
        <v>0.15</v>
      </c>
    </row>
    <row r="15" spans="2:22" s="19" customFormat="1" x14ac:dyDescent="0.15">
      <c r="B15" s="18" t="s">
        <v>23</v>
      </c>
      <c r="D15" s="32" t="s">
        <v>24</v>
      </c>
      <c r="E15" s="21">
        <v>0.03</v>
      </c>
      <c r="F15" s="21"/>
      <c r="G15" s="32" t="s">
        <v>24</v>
      </c>
      <c r="H15" s="99">
        <v>0.03</v>
      </c>
      <c r="I15" s="98">
        <f t="shared" si="1"/>
        <v>0.15</v>
      </c>
      <c r="J15" s="32" t="s">
        <v>24</v>
      </c>
      <c r="K15" s="97">
        <v>0.05</v>
      </c>
      <c r="L15" s="172"/>
      <c r="M15" s="25"/>
      <c r="N15" s="99"/>
      <c r="O15" s="20"/>
      <c r="P15" s="20"/>
    </row>
    <row r="16" spans="2:22" s="19" customFormat="1" x14ac:dyDescent="0.15">
      <c r="B16" s="18"/>
      <c r="D16" s="32"/>
      <c r="E16" s="21"/>
      <c r="F16" s="21"/>
      <c r="G16" s="32"/>
      <c r="H16" s="99"/>
      <c r="I16" s="98"/>
      <c r="J16" s="32"/>
      <c r="K16" s="100"/>
      <c r="L16" s="103"/>
      <c r="M16" s="25"/>
      <c r="N16" s="99"/>
      <c r="O16" s="20"/>
      <c r="P16" s="20"/>
    </row>
    <row r="17" spans="2:14" s="17" customFormat="1" x14ac:dyDescent="0.15">
      <c r="B17" s="33" t="s">
        <v>25</v>
      </c>
      <c r="C17" s="34"/>
      <c r="D17" s="34"/>
      <c r="E17" s="35">
        <f>SUM(E18:E26)</f>
        <v>0.44999999999999996</v>
      </c>
      <c r="F17" s="118"/>
      <c r="G17" s="34"/>
      <c r="H17" s="106">
        <f>SUM(H18:H26)</f>
        <v>0.45000000000000007</v>
      </c>
      <c r="I17" s="119"/>
      <c r="J17" s="34"/>
      <c r="K17" s="106">
        <f>SUM(K18:K26)</f>
        <v>0.45000000000000007</v>
      </c>
      <c r="L17" s="118"/>
      <c r="M17" s="34"/>
      <c r="N17" s="106">
        <f>SUM(N18:N26)</f>
        <v>0.45000000000000007</v>
      </c>
    </row>
    <row r="18" spans="2:14" s="19" customFormat="1" x14ac:dyDescent="0.15">
      <c r="B18" s="18" t="s">
        <v>26</v>
      </c>
      <c r="D18" s="19" t="s">
        <v>65</v>
      </c>
      <c r="E18" s="21">
        <v>0.18</v>
      </c>
      <c r="F18" s="21"/>
      <c r="G18" s="19" t="s">
        <v>27</v>
      </c>
      <c r="H18" s="24">
        <v>0.18</v>
      </c>
      <c r="I18" s="24"/>
      <c r="J18" s="102" t="s">
        <v>64</v>
      </c>
      <c r="K18" s="174">
        <v>0.18</v>
      </c>
      <c r="L18" s="24"/>
      <c r="M18" s="101" t="s">
        <v>64</v>
      </c>
      <c r="N18" s="174">
        <v>0.18</v>
      </c>
    </row>
    <row r="19" spans="2:14" s="19" customFormat="1" x14ac:dyDescent="0.15">
      <c r="B19" s="18"/>
      <c r="E19" s="21"/>
      <c r="F19" s="21"/>
      <c r="G19" s="25"/>
      <c r="H19" s="24"/>
      <c r="I19" s="24"/>
      <c r="J19" s="25" t="s">
        <v>34</v>
      </c>
      <c r="K19" s="58">
        <v>0.04</v>
      </c>
      <c r="L19" s="24"/>
      <c r="M19" s="36"/>
      <c r="N19" s="58"/>
    </row>
    <row r="20" spans="2:14" s="19" customFormat="1" x14ac:dyDescent="0.15">
      <c r="B20" s="18" t="s">
        <v>28</v>
      </c>
      <c r="D20" s="19" t="s">
        <v>29</v>
      </c>
      <c r="E20" s="21">
        <v>7.0000000000000007E-2</v>
      </c>
      <c r="F20" s="21"/>
      <c r="G20" s="25" t="s">
        <v>438</v>
      </c>
      <c r="H20" s="24">
        <v>7.0000000000000007E-2</v>
      </c>
      <c r="I20" s="24"/>
      <c r="J20" s="25" t="s">
        <v>438</v>
      </c>
      <c r="K20" s="58">
        <v>7.0000000000000007E-2</v>
      </c>
      <c r="L20" s="24"/>
      <c r="M20" s="25" t="s">
        <v>438</v>
      </c>
      <c r="N20" s="58">
        <v>7.0000000000000007E-2</v>
      </c>
    </row>
    <row r="21" spans="2:14" s="19" customFormat="1" x14ac:dyDescent="0.15">
      <c r="B21" s="18"/>
      <c r="D21" s="25" t="s">
        <v>31</v>
      </c>
      <c r="E21" s="21">
        <v>0.04</v>
      </c>
      <c r="F21" s="21"/>
      <c r="G21" s="25" t="s">
        <v>31</v>
      </c>
      <c r="H21" s="24">
        <v>0.05</v>
      </c>
      <c r="I21" s="24"/>
      <c r="J21" s="25"/>
      <c r="K21" s="58"/>
      <c r="L21" s="24"/>
      <c r="M21" s="25" t="s">
        <v>31</v>
      </c>
      <c r="N21" s="58">
        <v>0.05</v>
      </c>
    </row>
    <row r="22" spans="2:14" s="19" customFormat="1" x14ac:dyDescent="0.15">
      <c r="B22" s="18"/>
      <c r="D22" s="25" t="s">
        <v>32</v>
      </c>
      <c r="E22" s="21">
        <v>0.06</v>
      </c>
      <c r="F22" s="21"/>
      <c r="G22" s="25" t="s">
        <v>32</v>
      </c>
      <c r="H22" s="24">
        <v>0.06</v>
      </c>
      <c r="I22" s="24"/>
      <c r="J22" s="25" t="s">
        <v>32</v>
      </c>
      <c r="K22" s="58">
        <v>7.0000000000000007E-2</v>
      </c>
      <c r="L22" s="24"/>
      <c r="M22" s="25" t="s">
        <v>32</v>
      </c>
      <c r="N22" s="58">
        <v>0.06</v>
      </c>
    </row>
    <row r="23" spans="2:14" s="19" customFormat="1" x14ac:dyDescent="0.15">
      <c r="B23" s="18" t="s">
        <v>60</v>
      </c>
      <c r="D23" s="19" t="s">
        <v>414</v>
      </c>
      <c r="E23" s="21">
        <v>0.03</v>
      </c>
      <c r="F23" s="21"/>
      <c r="G23" s="25"/>
      <c r="H23" s="24"/>
      <c r="I23" s="24"/>
      <c r="J23" s="25" t="s">
        <v>61</v>
      </c>
      <c r="K23" s="58">
        <v>0.03</v>
      </c>
      <c r="L23" s="24"/>
      <c r="M23" s="25"/>
      <c r="N23" s="58"/>
    </row>
    <row r="24" spans="2:14" s="19" customFormat="1" x14ac:dyDescent="0.15">
      <c r="B24" s="18" t="s">
        <v>33</v>
      </c>
      <c r="D24" s="19" t="s">
        <v>59</v>
      </c>
      <c r="E24" s="21">
        <v>0.04</v>
      </c>
      <c r="F24" s="21"/>
      <c r="G24" s="19" t="s">
        <v>59</v>
      </c>
      <c r="H24" s="24">
        <v>0.03</v>
      </c>
      <c r="I24" s="24"/>
      <c r="L24" s="24"/>
      <c r="M24" s="101" t="s">
        <v>91</v>
      </c>
      <c r="N24" s="174">
        <v>0.03</v>
      </c>
    </row>
    <row r="25" spans="2:14" s="19" customFormat="1" x14ac:dyDescent="0.15">
      <c r="B25" s="18"/>
      <c r="E25" s="21"/>
      <c r="F25" s="21"/>
      <c r="G25" s="102" t="s">
        <v>92</v>
      </c>
      <c r="H25" s="174">
        <v>0.03</v>
      </c>
      <c r="I25" s="24"/>
      <c r="J25" s="102" t="s">
        <v>92</v>
      </c>
      <c r="K25" s="174">
        <v>0.03</v>
      </c>
      <c r="L25" s="24"/>
      <c r="M25" s="25" t="s">
        <v>36</v>
      </c>
      <c r="N25" s="58">
        <v>0.03</v>
      </c>
    </row>
    <row r="26" spans="2:14" s="19" customFormat="1" x14ac:dyDescent="0.15">
      <c r="B26" s="18" t="s">
        <v>37</v>
      </c>
      <c r="D26" s="25" t="s">
        <v>38</v>
      </c>
      <c r="E26" s="21">
        <v>0.03</v>
      </c>
      <c r="F26" s="21"/>
      <c r="G26" s="25" t="s">
        <v>38</v>
      </c>
      <c r="H26" s="24">
        <v>0.03</v>
      </c>
      <c r="I26" s="24"/>
      <c r="J26" s="25" t="s">
        <v>38</v>
      </c>
      <c r="K26" s="58">
        <v>0.03</v>
      </c>
      <c r="L26" s="24"/>
      <c r="M26" s="25" t="s">
        <v>38</v>
      </c>
      <c r="N26" s="58">
        <v>0.03</v>
      </c>
    </row>
    <row r="27" spans="2:14" s="17" customFormat="1" x14ac:dyDescent="0.15">
      <c r="B27" s="38" t="s">
        <v>40</v>
      </c>
      <c r="C27" s="38"/>
      <c r="D27" s="39"/>
      <c r="E27" s="40">
        <f>SUM(E28:E29)</f>
        <v>0.15</v>
      </c>
      <c r="F27" s="118"/>
      <c r="G27" s="39"/>
      <c r="H27" s="107">
        <f>SUM(H28:H35)</f>
        <v>0.15</v>
      </c>
      <c r="I27" s="119"/>
      <c r="J27" s="39"/>
      <c r="K27" s="107">
        <f>SUM(K28:K34)</f>
        <v>0.15000000000000002</v>
      </c>
      <c r="L27" s="118"/>
      <c r="M27" s="39"/>
      <c r="N27" s="107">
        <f>SUM(N28:N34)</f>
        <v>0.15</v>
      </c>
    </row>
    <row r="28" spans="2:14" s="16" customFormat="1" x14ac:dyDescent="0.15">
      <c r="B28" s="55"/>
      <c r="C28" s="55"/>
      <c r="D28" s="19" t="s">
        <v>67</v>
      </c>
      <c r="E28" s="21">
        <v>7.4999999999999997E-2</v>
      </c>
      <c r="F28" s="21"/>
      <c r="G28" s="19" t="s">
        <v>68</v>
      </c>
      <c r="H28" s="21">
        <v>0.08</v>
      </c>
      <c r="I28" s="24"/>
      <c r="J28" s="19" t="s">
        <v>68</v>
      </c>
      <c r="K28" s="21">
        <v>0.12</v>
      </c>
      <c r="L28" s="21"/>
      <c r="M28" s="19" t="s">
        <v>68</v>
      </c>
      <c r="N28" s="21">
        <v>0.09</v>
      </c>
    </row>
    <row r="29" spans="2:14" s="19" customFormat="1" x14ac:dyDescent="0.15">
      <c r="B29" s="18"/>
      <c r="D29" s="19" t="s">
        <v>66</v>
      </c>
      <c r="E29" s="21">
        <v>7.4999999999999997E-2</v>
      </c>
      <c r="F29" s="21"/>
      <c r="G29" s="12" t="s">
        <v>41</v>
      </c>
      <c r="H29" s="37">
        <v>0.01</v>
      </c>
      <c r="I29" s="24"/>
      <c r="J29" s="12" t="s">
        <v>41</v>
      </c>
      <c r="K29" s="37">
        <v>0.01</v>
      </c>
      <c r="L29" s="21"/>
      <c r="M29" s="12" t="s">
        <v>42</v>
      </c>
      <c r="N29" s="37">
        <v>0.01</v>
      </c>
    </row>
    <row r="30" spans="2:14" s="19" customFormat="1" x14ac:dyDescent="0.15">
      <c r="B30" s="18"/>
      <c r="E30" s="21"/>
      <c r="F30" s="21"/>
      <c r="G30" s="12" t="s">
        <v>43</v>
      </c>
      <c r="H30" s="37">
        <v>0.01</v>
      </c>
      <c r="I30" s="24"/>
      <c r="J30" s="12" t="s">
        <v>44</v>
      </c>
      <c r="K30" s="37">
        <v>0.01</v>
      </c>
      <c r="L30" s="21"/>
      <c r="M30" s="101" t="s">
        <v>434</v>
      </c>
      <c r="N30" s="174">
        <v>0.01</v>
      </c>
    </row>
    <row r="31" spans="2:14" s="19" customFormat="1" x14ac:dyDescent="0.15">
      <c r="B31" s="18"/>
      <c r="E31" s="21"/>
      <c r="F31" s="21"/>
      <c r="G31" s="12" t="s">
        <v>45</v>
      </c>
      <c r="H31" s="37">
        <v>0.01</v>
      </c>
      <c r="I31" s="24"/>
      <c r="J31" s="12" t="s">
        <v>94</v>
      </c>
      <c r="K31" s="37">
        <v>0.01</v>
      </c>
      <c r="L31" s="21"/>
      <c r="M31" s="12" t="s">
        <v>46</v>
      </c>
      <c r="N31" s="37">
        <v>0.01</v>
      </c>
    </row>
    <row r="32" spans="2:14" s="19" customFormat="1" x14ac:dyDescent="0.15">
      <c r="B32" s="18"/>
      <c r="E32" s="21"/>
      <c r="F32" s="21"/>
      <c r="G32" s="12" t="s">
        <v>42</v>
      </c>
      <c r="H32" s="37">
        <v>0.01</v>
      </c>
      <c r="I32" s="24"/>
      <c r="J32" s="36"/>
      <c r="K32" s="67"/>
      <c r="L32" s="30"/>
      <c r="M32" s="59" t="s">
        <v>93</v>
      </c>
      <c r="N32" s="37">
        <v>0.01</v>
      </c>
    </row>
    <row r="33" spans="2:16" s="19" customFormat="1" x14ac:dyDescent="0.15">
      <c r="B33" s="18"/>
      <c r="E33" s="21"/>
      <c r="F33" s="21"/>
      <c r="G33" s="101" t="s">
        <v>434</v>
      </c>
      <c r="H33" s="37">
        <v>0.01</v>
      </c>
      <c r="I33" s="24"/>
      <c r="J33" s="12"/>
      <c r="K33" s="37"/>
      <c r="L33" s="21"/>
      <c r="M33" s="179" t="s">
        <v>432</v>
      </c>
      <c r="N33" s="174">
        <v>0.01</v>
      </c>
    </row>
    <row r="34" spans="2:16" s="19" customFormat="1" ht="12" customHeight="1" x14ac:dyDescent="0.15">
      <c r="B34" s="18"/>
      <c r="E34" s="21"/>
      <c r="F34" s="21"/>
      <c r="G34" s="19" t="s">
        <v>46</v>
      </c>
      <c r="H34" s="21">
        <v>0.01</v>
      </c>
      <c r="I34" s="24"/>
      <c r="K34" s="21"/>
      <c r="L34" s="21"/>
      <c r="M34" s="102" t="s">
        <v>435</v>
      </c>
      <c r="N34" s="161">
        <v>0.01</v>
      </c>
    </row>
    <row r="35" spans="2:16" s="19" customFormat="1" x14ac:dyDescent="0.15">
      <c r="B35" s="18"/>
      <c r="E35" s="21"/>
      <c r="F35" s="21"/>
      <c r="G35" s="102" t="s">
        <v>435</v>
      </c>
      <c r="H35" s="161">
        <v>0.01</v>
      </c>
      <c r="I35" s="24"/>
      <c r="K35" s="21"/>
      <c r="L35" s="21"/>
      <c r="N35" s="21"/>
    </row>
    <row r="36" spans="2:16" s="19" customFormat="1" x14ac:dyDescent="0.15">
      <c r="B36" s="18"/>
      <c r="E36" s="21"/>
      <c r="F36" s="21"/>
      <c r="G36" s="102"/>
      <c r="H36" s="161"/>
      <c r="I36" s="24"/>
      <c r="K36" s="21"/>
      <c r="L36" s="21"/>
      <c r="N36" s="21"/>
    </row>
    <row r="37" spans="2:16" s="16" customFormat="1" x14ac:dyDescent="0.15">
      <c r="B37" s="44"/>
      <c r="C37" s="45"/>
      <c r="D37" s="45"/>
      <c r="E37" s="44">
        <f>E3+E8+E17+E27</f>
        <v>1</v>
      </c>
      <c r="F37" s="119"/>
      <c r="G37" s="44"/>
      <c r="H37" s="119">
        <f>H3+H8+H17+H27</f>
        <v>1</v>
      </c>
      <c r="I37" s="119"/>
      <c r="J37" s="44"/>
      <c r="K37" s="119">
        <f>K3+K8+K17+K27</f>
        <v>1</v>
      </c>
      <c r="L37" s="119"/>
      <c r="M37" s="44"/>
      <c r="N37" s="119">
        <f>N3+N8+N17+N27</f>
        <v>1</v>
      </c>
    </row>
    <row r="38" spans="2:16" x14ac:dyDescent="0.15">
      <c r="B38" s="46" t="s">
        <v>437</v>
      </c>
      <c r="C38" s="46"/>
      <c r="D38" s="46"/>
      <c r="E38" s="46"/>
      <c r="F38" s="118"/>
      <c r="G38" s="49"/>
      <c r="H38" s="108"/>
      <c r="J38" s="49"/>
      <c r="K38" s="108"/>
      <c r="L38" s="118"/>
      <c r="M38" s="49"/>
      <c r="N38" s="108"/>
      <c r="P38" s="12" t="s">
        <v>39</v>
      </c>
    </row>
    <row r="39" spans="2:16" s="19" customFormat="1" x14ac:dyDescent="0.15">
      <c r="E39" s="21"/>
      <c r="F39" s="21"/>
      <c r="G39" s="22" t="s">
        <v>48</v>
      </c>
      <c r="H39" s="21">
        <v>5.0000000000000001E-3</v>
      </c>
      <c r="I39" s="24"/>
      <c r="J39" s="25" t="s">
        <v>49</v>
      </c>
      <c r="K39" s="21">
        <v>5.0000000000000001E-3</v>
      </c>
      <c r="L39" s="21"/>
      <c r="M39" s="25" t="s">
        <v>50</v>
      </c>
      <c r="N39" s="21">
        <v>5.0000000000000001E-3</v>
      </c>
      <c r="O39" s="20"/>
      <c r="P39" s="20"/>
    </row>
    <row r="40" spans="2:16" s="19" customFormat="1" x14ac:dyDescent="0.15">
      <c r="B40" s="18"/>
      <c r="E40" s="21"/>
      <c r="F40" s="21"/>
      <c r="G40" s="22" t="s">
        <v>51</v>
      </c>
      <c r="H40" s="21">
        <v>5.0000000000000001E-3</v>
      </c>
      <c r="I40" s="24"/>
      <c r="J40" s="25" t="s">
        <v>52</v>
      </c>
      <c r="K40" s="21">
        <v>5.0000000000000001E-3</v>
      </c>
      <c r="L40" s="21"/>
      <c r="M40" s="19" t="s">
        <v>53</v>
      </c>
      <c r="N40" s="21">
        <v>5.0000000000000001E-3</v>
      </c>
      <c r="O40" s="20"/>
      <c r="P40" s="20"/>
    </row>
    <row r="41" spans="2:16" s="19" customFormat="1" x14ac:dyDescent="0.15">
      <c r="B41" s="18"/>
      <c r="E41" s="21"/>
      <c r="F41" s="21"/>
      <c r="G41" s="22" t="s">
        <v>54</v>
      </c>
      <c r="H41" s="21">
        <v>5.0000000000000001E-3</v>
      </c>
      <c r="I41" s="24"/>
      <c r="J41" s="25" t="s">
        <v>55</v>
      </c>
      <c r="K41" s="21">
        <v>5.0000000000000001E-3</v>
      </c>
      <c r="L41" s="21"/>
      <c r="M41" s="19" t="s">
        <v>54</v>
      </c>
      <c r="N41" s="21">
        <v>5.0000000000000001E-3</v>
      </c>
      <c r="O41" s="20"/>
      <c r="P41" s="20"/>
    </row>
    <row r="42" spans="2:16" s="19" customFormat="1" x14ac:dyDescent="0.15">
      <c r="B42" s="18"/>
      <c r="E42" s="21"/>
      <c r="F42" s="21"/>
      <c r="G42" s="22" t="s">
        <v>56</v>
      </c>
      <c r="H42" s="21">
        <v>5.0000000000000001E-3</v>
      </c>
      <c r="I42" s="24"/>
      <c r="J42" s="25" t="s">
        <v>57</v>
      </c>
      <c r="K42" s="21">
        <v>5.0000000000000001E-3</v>
      </c>
      <c r="L42" s="21"/>
      <c r="M42" s="19" t="s">
        <v>58</v>
      </c>
      <c r="N42" s="21">
        <v>5.0000000000000001E-3</v>
      </c>
      <c r="O42" s="20"/>
      <c r="P42" s="20"/>
    </row>
    <row r="43" spans="2:16" s="19" customFormat="1" x14ac:dyDescent="0.15">
      <c r="B43" s="176" t="s">
        <v>436</v>
      </c>
      <c r="C43" s="176"/>
      <c r="D43" s="176"/>
      <c r="E43" s="176"/>
      <c r="F43" s="21"/>
      <c r="G43" s="177"/>
      <c r="H43" s="178"/>
      <c r="I43" s="24"/>
      <c r="J43" s="177"/>
      <c r="K43" s="178"/>
      <c r="L43" s="21"/>
      <c r="M43" s="177"/>
      <c r="N43" s="178"/>
      <c r="O43" s="20"/>
      <c r="P43" s="20"/>
    </row>
    <row r="44" spans="2:16" s="19" customFormat="1" x14ac:dyDescent="0.15">
      <c r="B44" s="18"/>
      <c r="E44" s="21"/>
      <c r="F44" s="21"/>
      <c r="G44" s="102" t="s">
        <v>431</v>
      </c>
      <c r="H44" s="161">
        <v>5.0000000000000001E-3</v>
      </c>
      <c r="I44" s="24"/>
      <c r="J44" s="25"/>
      <c r="K44" s="21"/>
      <c r="L44" s="21"/>
      <c r="M44" s="102" t="s">
        <v>431</v>
      </c>
      <c r="N44" s="161">
        <v>5.0000000000000001E-3</v>
      </c>
      <c r="O44" s="20"/>
      <c r="P44" s="20"/>
    </row>
    <row r="45" spans="2:16" s="19" customFormat="1" x14ac:dyDescent="0.15">
      <c r="B45" s="18"/>
      <c r="E45" s="21"/>
      <c r="F45" s="21"/>
      <c r="G45" s="102" t="s">
        <v>433</v>
      </c>
      <c r="H45" s="161">
        <v>5.0000000000000001E-3</v>
      </c>
      <c r="I45" s="24"/>
      <c r="J45" s="25"/>
      <c r="K45" s="21"/>
      <c r="L45" s="21"/>
      <c r="M45" s="102" t="s">
        <v>433</v>
      </c>
      <c r="N45" s="161">
        <v>5.0000000000000001E-3</v>
      </c>
      <c r="O45" s="20"/>
      <c r="P45" s="20"/>
    </row>
    <row r="46" spans="2:16" hidden="1" x14ac:dyDescent="0.15">
      <c r="D46" s="51">
        <v>0.6</v>
      </c>
    </row>
    <row r="47" spans="2:16" hidden="1" x14ac:dyDescent="0.15"/>
    <row r="48" spans="2:16" hidden="1" x14ac:dyDescent="0.15">
      <c r="D48" s="12" t="e">
        <f>#REF!</f>
        <v>#REF!</v>
      </c>
      <c r="E48" s="21" t="e">
        <f>ROUND(#REF!*$D$46,2)</f>
        <v>#REF!</v>
      </c>
      <c r="F48" s="21"/>
      <c r="H48" s="53" t="e">
        <f>ROUND(#REF!*$D$46,2)</f>
        <v>#REF!</v>
      </c>
      <c r="I48" s="24"/>
      <c r="K48" s="53" t="e">
        <f>ROUND(#REF!*$D$46,2)</f>
        <v>#REF!</v>
      </c>
      <c r="L48" s="21"/>
      <c r="N48" s="53" t="e">
        <f>ROUND(#REF!*$D$46,2)</f>
        <v>#REF!</v>
      </c>
    </row>
    <row r="49" spans="4:18" hidden="1" x14ac:dyDescent="0.15">
      <c r="D49" s="12" t="e">
        <f>#REF!</f>
        <v>#REF!</v>
      </c>
      <c r="E49" s="21" t="e">
        <f>ROUND(#REF!*$D$46,2)</f>
        <v>#REF!</v>
      </c>
      <c r="F49" s="21"/>
      <c r="H49" s="53" t="e">
        <f>ROUND(#REF!*$D$46,2)</f>
        <v>#REF!</v>
      </c>
      <c r="I49" s="24"/>
      <c r="K49" s="53" t="e">
        <f>ROUND(#REF!*$D$46,2)</f>
        <v>#REF!</v>
      </c>
      <c r="L49" s="21"/>
      <c r="N49" s="53" t="e">
        <f>ROUND(#REF!*$D$46,2)</f>
        <v>#REF!</v>
      </c>
    </row>
    <row r="50" spans="4:18" ht="13" hidden="1" x14ac:dyDescent="0.15">
      <c r="D50" s="12" t="e">
        <f>#REF!</f>
        <v>#REF!</v>
      </c>
      <c r="E50" s="21" t="e">
        <f>ROUND(#REF!*$D$46,2)</f>
        <v>#REF!</v>
      </c>
      <c r="F50" s="21"/>
      <c r="H50" s="53" t="e">
        <f>ROUND(#REF!*$D$46,2)</f>
        <v>#REF!</v>
      </c>
      <c r="I50" s="24"/>
      <c r="K50" s="53" t="e">
        <f>ROUND(#REF!*$D$46,2)</f>
        <v>#REF!</v>
      </c>
      <c r="L50" s="21"/>
      <c r="N50" s="53" t="e">
        <f>ROUND(#REF!*$D$46,2)</f>
        <v>#REF!</v>
      </c>
      <c r="R50" s="84"/>
    </row>
    <row r="51" spans="4:18" hidden="1" x14ac:dyDescent="0.15">
      <c r="D51" s="12" t="e">
        <f>#REF!</f>
        <v>#REF!</v>
      </c>
      <c r="E51" s="21" t="e">
        <f>ROUND(#REF!*$D$46,2)</f>
        <v>#REF!</v>
      </c>
      <c r="F51" s="21"/>
      <c r="H51" s="53" t="e">
        <f>ROUND(#REF!*$D$46,2)</f>
        <v>#REF!</v>
      </c>
      <c r="I51" s="24"/>
      <c r="K51" s="53" t="e">
        <f>ROUND(#REF!*$D$46,2)</f>
        <v>#REF!</v>
      </c>
      <c r="L51" s="21"/>
      <c r="N51" s="53" t="e">
        <f>ROUND(#REF!*$D$46,2)</f>
        <v>#REF!</v>
      </c>
    </row>
    <row r="52" spans="4:18" hidden="1" x14ac:dyDescent="0.15">
      <c r="D52" s="12" t="e">
        <f>#REF!</f>
        <v>#REF!</v>
      </c>
      <c r="E52" s="21" t="e">
        <f>ROUND(#REF!*$D$46,2)</f>
        <v>#REF!</v>
      </c>
      <c r="F52" s="21"/>
      <c r="H52" s="53" t="e">
        <f>ROUND(#REF!*$D$46,2)</f>
        <v>#REF!</v>
      </c>
      <c r="I52" s="24"/>
      <c r="K52" s="53" t="e">
        <f>ROUND(#REF!*$D$46,2)</f>
        <v>#REF!</v>
      </c>
      <c r="L52" s="21"/>
      <c r="N52" s="53" t="e">
        <f>ROUND(#REF!*$D$46,2)</f>
        <v>#REF!</v>
      </c>
    </row>
    <row r="53" spans="4:18" hidden="1" x14ac:dyDescent="0.15">
      <c r="D53" s="12" t="e">
        <f>#REF!</f>
        <v>#REF!</v>
      </c>
      <c r="E53" s="21" t="e">
        <f>ROUND(#REF!*$D$46,2)</f>
        <v>#REF!</v>
      </c>
      <c r="F53" s="21"/>
      <c r="H53" s="53" t="e">
        <f>ROUND(#REF!*$D$46,2)</f>
        <v>#REF!</v>
      </c>
      <c r="I53" s="24"/>
      <c r="K53" s="53" t="e">
        <f>ROUND(#REF!*$D$46,2)</f>
        <v>#REF!</v>
      </c>
      <c r="L53" s="21"/>
      <c r="N53" s="53" t="e">
        <f>ROUND(#REF!*$D$46,2)</f>
        <v>#REF!</v>
      </c>
    </row>
    <row r="54" spans="4:18" hidden="1" x14ac:dyDescent="0.15">
      <c r="D54" s="12" t="e">
        <f>#REF!</f>
        <v>#REF!</v>
      </c>
      <c r="E54" s="21" t="e">
        <f>ROUND(#REF!*$D$46,2)</f>
        <v>#REF!</v>
      </c>
      <c r="F54" s="21"/>
      <c r="H54" s="53" t="e">
        <f>ROUND(#REF!*$D$46,2)</f>
        <v>#REF!</v>
      </c>
      <c r="I54" s="24"/>
      <c r="K54" s="53" t="e">
        <f>ROUND(#REF!*$D$46,2)</f>
        <v>#REF!</v>
      </c>
      <c r="L54" s="21"/>
      <c r="N54" s="53" t="e">
        <f>ROUND(#REF!*$D$46,2)</f>
        <v>#REF!</v>
      </c>
    </row>
    <row r="55" spans="4:18" hidden="1" x14ac:dyDescent="0.15">
      <c r="D55" s="12" t="e">
        <f>#REF!</f>
        <v>#REF!</v>
      </c>
      <c r="E55" s="21" t="e">
        <f>ROUND(#REF!*$D$46,2)</f>
        <v>#REF!</v>
      </c>
      <c r="F55" s="21"/>
      <c r="H55" s="53" t="e">
        <f>ROUND(#REF!*$D$46,2)</f>
        <v>#REF!</v>
      </c>
      <c r="I55" s="24"/>
      <c r="K55" s="53" t="e">
        <f>ROUND(#REF!*$D$46,2)</f>
        <v>#REF!</v>
      </c>
      <c r="L55" s="21"/>
      <c r="N55" s="53" t="e">
        <f>ROUND(#REF!*$D$46,2)</f>
        <v>#REF!</v>
      </c>
    </row>
    <row r="56" spans="4:18" hidden="1" x14ac:dyDescent="0.15">
      <c r="D56" s="12" t="e">
        <f>#REF!</f>
        <v>#REF!</v>
      </c>
      <c r="E56" s="21" t="e">
        <f>ROUND(#REF!*$D$46,2)</f>
        <v>#REF!</v>
      </c>
      <c r="F56" s="21"/>
      <c r="H56" s="53" t="e">
        <f>ROUND(#REF!*$D$46,2)</f>
        <v>#REF!</v>
      </c>
      <c r="I56" s="24"/>
      <c r="K56" s="53" t="e">
        <f>ROUND(#REF!*$D$46,2)</f>
        <v>#REF!</v>
      </c>
      <c r="L56" s="21"/>
      <c r="N56" s="53" t="e">
        <f>ROUND(#REF!*$D$46,2)</f>
        <v>#REF!</v>
      </c>
    </row>
    <row r="57" spans="4:18" hidden="1" x14ac:dyDescent="0.15">
      <c r="D57" s="12" t="e">
        <f>#REF!</f>
        <v>#REF!</v>
      </c>
      <c r="E57" s="21" t="e">
        <f>ROUND(#REF!*$D$46,2)</f>
        <v>#REF!</v>
      </c>
      <c r="F57" s="21"/>
      <c r="H57" s="53" t="e">
        <f>ROUND(#REF!*$D$46,2)</f>
        <v>#REF!</v>
      </c>
      <c r="I57" s="24"/>
      <c r="K57" s="53" t="e">
        <f>ROUND(#REF!*$D$46,2)</f>
        <v>#REF!</v>
      </c>
      <c r="L57" s="21"/>
      <c r="N57" s="53" t="e">
        <f>ROUND(#REF!*$D$46,2)</f>
        <v>#REF!</v>
      </c>
    </row>
    <row r="58" spans="4:18" hidden="1" x14ac:dyDescent="0.15">
      <c r="D58" s="12" t="e">
        <f>#REF!</f>
        <v>#REF!</v>
      </c>
      <c r="E58" s="21" t="e">
        <f>ROUND(#REF!*$D$46,2)</f>
        <v>#REF!</v>
      </c>
      <c r="F58" s="21"/>
      <c r="H58" s="53" t="e">
        <f>ROUND(#REF!*$D$46,2)</f>
        <v>#REF!</v>
      </c>
      <c r="I58" s="24"/>
      <c r="K58" s="53" t="e">
        <f>ROUND(#REF!*$D$46,2)</f>
        <v>#REF!</v>
      </c>
      <c r="L58" s="21"/>
      <c r="N58" s="53" t="e">
        <f>ROUND(#REF!*$D$46,2)</f>
        <v>#REF!</v>
      </c>
    </row>
    <row r="59" spans="4:18" hidden="1" x14ac:dyDescent="0.15">
      <c r="D59" s="12" t="e">
        <f>#REF!</f>
        <v>#REF!</v>
      </c>
      <c r="E59" s="21" t="e">
        <f>ROUND(#REF!*$D$46,2)</f>
        <v>#REF!</v>
      </c>
      <c r="F59" s="21"/>
      <c r="H59" s="53" t="e">
        <f>ROUND(#REF!*$D$46,2)</f>
        <v>#REF!</v>
      </c>
      <c r="I59" s="24"/>
      <c r="K59" s="53" t="e">
        <f>ROUND(#REF!*$D$46,2)</f>
        <v>#REF!</v>
      </c>
      <c r="L59" s="21"/>
      <c r="N59" s="53" t="e">
        <f>ROUND(#REF!*$D$46,2)</f>
        <v>#REF!</v>
      </c>
    </row>
    <row r="60" spans="4:18" hidden="1" x14ac:dyDescent="0.15">
      <c r="D60" s="12" t="e">
        <f>#REF!</f>
        <v>#REF!</v>
      </c>
      <c r="E60" s="21" t="e">
        <f>ROUND(#REF!*$D$46,2)</f>
        <v>#REF!</v>
      </c>
      <c r="F60" s="21"/>
      <c r="H60" s="53" t="e">
        <f>ROUND(#REF!*$D$46,2)</f>
        <v>#REF!</v>
      </c>
      <c r="I60" s="24"/>
      <c r="K60" s="53" t="e">
        <f>ROUND(#REF!*$D$46,2)</f>
        <v>#REF!</v>
      </c>
      <c r="L60" s="21"/>
      <c r="N60" s="53" t="e">
        <f>ROUND(#REF!*$D$46,2)</f>
        <v>#REF!</v>
      </c>
    </row>
    <row r="61" spans="4:18" hidden="1" x14ac:dyDescent="0.15">
      <c r="D61" s="12" t="e">
        <f>#REF!</f>
        <v>#REF!</v>
      </c>
      <c r="E61" s="21" t="e">
        <f>ROUND(#REF!*$D$46,2)</f>
        <v>#REF!</v>
      </c>
      <c r="F61" s="21"/>
      <c r="H61" s="53" t="e">
        <f>ROUND(#REF!*$D$46,2)</f>
        <v>#REF!</v>
      </c>
      <c r="I61" s="24"/>
      <c r="K61" s="53" t="e">
        <f>ROUND(#REF!*$D$46,2)</f>
        <v>#REF!</v>
      </c>
      <c r="L61" s="21"/>
      <c r="N61" s="53" t="e">
        <f>ROUND(#REF!*$D$46,2)</f>
        <v>#REF!</v>
      </c>
    </row>
    <row r="62" spans="4:18" hidden="1" x14ac:dyDescent="0.15">
      <c r="E62" s="21"/>
      <c r="F62" s="21"/>
      <c r="H62" s="53"/>
      <c r="I62" s="24"/>
      <c r="K62" s="53"/>
      <c r="L62" s="21"/>
      <c r="N62" s="53"/>
    </row>
    <row r="63" spans="4:18" hidden="1" x14ac:dyDescent="0.15"/>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8FC8B-FB56-43C6-8007-DA36AF522DD2}">
  <sheetPr codeName="Sheet5"/>
  <dimension ref="B2:AF49"/>
  <sheetViews>
    <sheetView showGridLines="0" topLeftCell="E1" zoomScaleNormal="100" workbookViewId="0">
      <selection activeCell="J34" sqref="J34"/>
    </sheetView>
  </sheetViews>
  <sheetFormatPr baseColWidth="10" defaultColWidth="9" defaultRowHeight="12" x14ac:dyDescent="0.15"/>
  <cols>
    <col min="1" max="1" width="7.33203125" style="12" customWidth="1"/>
    <col min="2" max="2" width="19.6640625" style="54" bestFit="1" customWidth="1"/>
    <col min="3" max="3" width="1.6640625" style="12" customWidth="1"/>
    <col min="4" max="4" width="36.6640625" style="12" bestFit="1" customWidth="1"/>
    <col min="5" max="5" width="3.1640625" style="12" customWidth="1"/>
    <col min="6" max="6" width="0.83203125" style="12" customWidth="1"/>
    <col min="7" max="7" width="5.33203125" style="52" bestFit="1" customWidth="1"/>
    <col min="8" max="8" width="3.33203125" style="12" bestFit="1" customWidth="1"/>
    <col min="9" max="9" width="3.33203125" style="19" bestFit="1" customWidth="1"/>
    <col min="10" max="10" width="36.6640625" style="12" bestFit="1" customWidth="1"/>
    <col min="11" max="12" width="3.33203125" style="12" bestFit="1" customWidth="1"/>
    <col min="13" max="13" width="5.33203125" style="52" bestFit="1" customWidth="1"/>
    <col min="14" max="14" width="3.33203125" style="12" bestFit="1" customWidth="1"/>
    <col min="15" max="15" width="3.33203125" style="19" bestFit="1" customWidth="1"/>
    <col min="16" max="16" width="36.6640625" style="12" bestFit="1" customWidth="1"/>
    <col min="17" max="18" width="3.33203125" style="12" bestFit="1" customWidth="1"/>
    <col min="19" max="19" width="6.1640625" style="52" bestFit="1" customWidth="1"/>
    <col min="20" max="20" width="3.33203125" style="12" bestFit="1" customWidth="1"/>
    <col min="21" max="21" width="3.33203125" style="19" bestFit="1" customWidth="1"/>
    <col min="22" max="22" width="36.6640625" style="12" bestFit="1" customWidth="1"/>
    <col min="23" max="24" width="3.33203125" style="12" bestFit="1" customWidth="1"/>
    <col min="25" max="25" width="6.1640625" style="52" bestFit="1" customWidth="1"/>
    <col min="26" max="27" width="3.1640625" style="71" bestFit="1" customWidth="1"/>
    <col min="28" max="32" width="8.1640625" style="17" customWidth="1"/>
    <col min="33" max="16384" width="9" style="12"/>
  </cols>
  <sheetData>
    <row r="2" spans="2:32" ht="16" x14ac:dyDescent="0.15">
      <c r="B2" s="1"/>
      <c r="C2" s="2"/>
      <c r="D2" s="3" t="s">
        <v>1</v>
      </c>
      <c r="E2" s="3"/>
      <c r="F2" s="3"/>
      <c r="G2" s="4"/>
      <c r="H2" s="3"/>
      <c r="I2" s="5"/>
      <c r="J2" s="6" t="s">
        <v>5</v>
      </c>
      <c r="K2" s="3"/>
      <c r="L2" s="3"/>
      <c r="M2" s="4"/>
      <c r="N2" s="3"/>
      <c r="O2" s="7"/>
      <c r="P2" s="8" t="s">
        <v>2</v>
      </c>
      <c r="Q2" s="3"/>
      <c r="R2" s="3"/>
      <c r="S2" s="4"/>
      <c r="T2" s="8"/>
      <c r="U2" s="9"/>
      <c r="V2" s="10" t="s">
        <v>3</v>
      </c>
      <c r="W2" s="2"/>
      <c r="X2" s="2"/>
      <c r="Y2" s="11"/>
      <c r="Z2" s="64"/>
      <c r="AA2" s="64"/>
    </row>
    <row r="3" spans="2:32" s="17" customFormat="1" x14ac:dyDescent="0.15">
      <c r="B3" s="13" t="s">
        <v>6</v>
      </c>
      <c r="C3" s="14"/>
      <c r="D3" s="14"/>
      <c r="E3" s="14"/>
      <c r="F3" s="14"/>
      <c r="G3" s="15">
        <f>SUM(G4:G7)</f>
        <v>0.15</v>
      </c>
      <c r="H3" s="14"/>
      <c r="I3" s="16"/>
      <c r="J3" s="14"/>
      <c r="K3" s="14"/>
      <c r="L3" s="14"/>
      <c r="M3" s="15">
        <f>SUM(M4:M7)</f>
        <v>0.2</v>
      </c>
      <c r="N3" s="14"/>
      <c r="O3" s="16"/>
      <c r="P3" s="14"/>
      <c r="Q3" s="14"/>
      <c r="R3" s="14"/>
      <c r="S3" s="15">
        <f>SUM(S4:S7)</f>
        <v>0.25</v>
      </c>
      <c r="T3" s="14"/>
      <c r="U3" s="16"/>
      <c r="V3" s="14"/>
      <c r="W3" s="14"/>
      <c r="X3" s="14"/>
      <c r="Y3" s="15">
        <f>SUM(Y4:Y7)</f>
        <v>0.25</v>
      </c>
      <c r="Z3" s="65"/>
      <c r="AA3" s="65"/>
    </row>
    <row r="4" spans="2:32" s="19" customFormat="1" x14ac:dyDescent="0.15">
      <c r="B4" s="54" t="s">
        <v>7</v>
      </c>
      <c r="C4" s="12"/>
      <c r="D4" s="56" t="s">
        <v>69</v>
      </c>
      <c r="E4" s="56"/>
      <c r="F4" s="56"/>
      <c r="G4" s="37">
        <v>5.0000000000000001E-3</v>
      </c>
      <c r="H4" s="56"/>
      <c r="I4" s="12"/>
      <c r="J4" s="56" t="s">
        <v>69</v>
      </c>
      <c r="K4" s="56"/>
      <c r="L4" s="56"/>
      <c r="M4" s="37">
        <v>5.0000000000000001E-3</v>
      </c>
      <c r="N4" s="56"/>
      <c r="O4" s="12"/>
      <c r="P4" s="56" t="s">
        <v>69</v>
      </c>
      <c r="Q4" s="57"/>
      <c r="R4" s="57"/>
      <c r="S4" s="58">
        <v>5.0000000000000001E-3</v>
      </c>
      <c r="T4" s="56"/>
      <c r="U4" s="12"/>
      <c r="V4" s="56" t="s">
        <v>69</v>
      </c>
      <c r="W4" s="12"/>
      <c r="X4" s="12"/>
      <c r="Y4" s="37">
        <v>5.0000000000000001E-3</v>
      </c>
      <c r="Z4" s="37"/>
      <c r="AA4" s="37"/>
      <c r="AB4" s="16"/>
      <c r="AC4" s="16"/>
      <c r="AD4" s="16"/>
      <c r="AE4" s="16"/>
      <c r="AF4" s="16"/>
    </row>
    <row r="5" spans="2:32" s="19" customFormat="1" x14ac:dyDescent="0.15">
      <c r="B5" s="54"/>
      <c r="C5" s="12"/>
      <c r="D5" s="56"/>
      <c r="E5" s="56"/>
      <c r="F5" s="56"/>
      <c r="G5" s="37"/>
      <c r="H5" s="56"/>
      <c r="I5" s="12"/>
      <c r="J5" s="59"/>
      <c r="K5" s="56"/>
      <c r="L5" s="56"/>
      <c r="M5" s="37"/>
      <c r="N5" s="56"/>
      <c r="O5" s="12"/>
      <c r="P5" s="59"/>
      <c r="Q5" s="57"/>
      <c r="R5" s="57"/>
      <c r="S5" s="58"/>
      <c r="T5" s="56"/>
      <c r="U5" s="12"/>
      <c r="V5" s="56"/>
      <c r="W5" s="12"/>
      <c r="X5" s="12"/>
      <c r="Y5" s="37"/>
      <c r="Z5" s="37"/>
      <c r="AA5" s="37"/>
      <c r="AB5" s="16"/>
      <c r="AC5" s="16"/>
      <c r="AD5" s="16"/>
      <c r="AE5" s="16"/>
      <c r="AF5" s="16"/>
    </row>
    <row r="6" spans="2:32" s="19" customFormat="1" x14ac:dyDescent="0.15">
      <c r="B6" s="18" t="s">
        <v>10</v>
      </c>
      <c r="D6" s="60" t="s">
        <v>70</v>
      </c>
      <c r="E6" s="60"/>
      <c r="F6" s="60"/>
      <c r="G6" s="61">
        <v>7.2499999999999995E-2</v>
      </c>
      <c r="H6" s="60"/>
      <c r="I6" s="62"/>
      <c r="J6" s="60" t="s">
        <v>70</v>
      </c>
      <c r="K6" s="60"/>
      <c r="L6" s="60"/>
      <c r="M6" s="61">
        <v>9.7500000000000003E-2</v>
      </c>
      <c r="N6" s="60"/>
      <c r="O6" s="60"/>
      <c r="P6" s="60" t="s">
        <v>70</v>
      </c>
      <c r="Q6" s="60"/>
      <c r="R6" s="60"/>
      <c r="S6" s="61">
        <v>0.1225</v>
      </c>
      <c r="T6" s="60"/>
      <c r="U6" s="60"/>
      <c r="V6" s="60" t="s">
        <v>70</v>
      </c>
      <c r="W6" s="62"/>
      <c r="X6" s="62"/>
      <c r="Y6" s="61">
        <v>0.1225</v>
      </c>
      <c r="Z6" s="37"/>
      <c r="AA6" s="37"/>
      <c r="AB6" s="16"/>
      <c r="AC6" s="16"/>
      <c r="AD6" s="16"/>
      <c r="AE6" s="16"/>
      <c r="AF6" s="16"/>
    </row>
    <row r="7" spans="2:32" s="19" customFormat="1" x14ac:dyDescent="0.15">
      <c r="B7" s="18"/>
      <c r="D7" s="62" t="s">
        <v>71</v>
      </c>
      <c r="E7" s="62"/>
      <c r="F7" s="62"/>
      <c r="G7" s="61">
        <v>7.2499999999999995E-2</v>
      </c>
      <c r="H7" s="62"/>
      <c r="I7" s="62"/>
      <c r="J7" s="62" t="s">
        <v>71</v>
      </c>
      <c r="K7" s="62"/>
      <c r="L7" s="62"/>
      <c r="M7" s="61">
        <v>9.7500000000000003E-2</v>
      </c>
      <c r="N7" s="62"/>
      <c r="O7" s="62"/>
      <c r="P7" s="62" t="s">
        <v>71</v>
      </c>
      <c r="Q7" s="62"/>
      <c r="R7" s="62"/>
      <c r="S7" s="61">
        <v>0.1225</v>
      </c>
      <c r="T7" s="63"/>
      <c r="U7" s="62"/>
      <c r="V7" s="62" t="s">
        <v>71</v>
      </c>
      <c r="W7" s="62"/>
      <c r="X7" s="62"/>
      <c r="Y7" s="61">
        <v>0.1225</v>
      </c>
      <c r="Z7" s="37"/>
      <c r="AA7" s="37"/>
      <c r="AB7" s="16"/>
      <c r="AC7" s="16"/>
      <c r="AD7" s="16"/>
      <c r="AE7" s="16"/>
      <c r="AF7" s="16"/>
    </row>
    <row r="8" spans="2:32" s="19" customFormat="1" x14ac:dyDescent="0.15">
      <c r="B8" s="18"/>
      <c r="D8" s="62"/>
      <c r="E8" s="62"/>
      <c r="F8" s="62"/>
      <c r="G8" s="61"/>
      <c r="H8" s="62"/>
      <c r="I8" s="62"/>
      <c r="J8" s="62"/>
      <c r="K8" s="62"/>
      <c r="L8" s="62"/>
      <c r="M8" s="61"/>
      <c r="N8" s="62"/>
      <c r="O8" s="62"/>
      <c r="P8" s="62"/>
      <c r="Q8" s="62"/>
      <c r="R8" s="62"/>
      <c r="S8" s="61"/>
      <c r="T8" s="63"/>
      <c r="U8" s="62"/>
      <c r="V8" s="62"/>
      <c r="W8" s="62"/>
      <c r="X8" s="62"/>
      <c r="Y8" s="61"/>
      <c r="Z8" s="37"/>
      <c r="AA8" s="37"/>
      <c r="AB8" s="16"/>
      <c r="AC8" s="16"/>
      <c r="AD8" s="16"/>
      <c r="AE8" s="16"/>
      <c r="AF8" s="16"/>
    </row>
    <row r="9" spans="2:32" s="17" customFormat="1" x14ac:dyDescent="0.15">
      <c r="B9" s="26" t="s">
        <v>14</v>
      </c>
      <c r="C9" s="27"/>
      <c r="D9" s="27"/>
      <c r="E9" s="27"/>
      <c r="F9" s="27"/>
      <c r="G9" s="28">
        <f>SUM(G10:G16)</f>
        <v>0.25</v>
      </c>
      <c r="H9" s="27"/>
      <c r="I9" s="29"/>
      <c r="J9" s="27"/>
      <c r="K9" s="27"/>
      <c r="L9" s="27"/>
      <c r="M9" s="28">
        <f>SUM(M10:M16)</f>
        <v>0.2</v>
      </c>
      <c r="N9" s="27"/>
      <c r="O9" s="29"/>
      <c r="P9" s="27"/>
      <c r="Q9" s="27"/>
      <c r="R9" s="27"/>
      <c r="S9" s="28">
        <f>SUM(S10:S16)</f>
        <v>0.15</v>
      </c>
      <c r="T9" s="27"/>
      <c r="U9" s="29"/>
      <c r="V9" s="27"/>
      <c r="W9" s="27"/>
      <c r="X9" s="27"/>
      <c r="Y9" s="28">
        <f>SUM(Y10:Y16)</f>
        <v>0.15</v>
      </c>
      <c r="Z9" s="66"/>
      <c r="AA9" s="66"/>
    </row>
    <row r="10" spans="2:32" s="19" customFormat="1" x14ac:dyDescent="0.15">
      <c r="B10" s="18" t="s">
        <v>0</v>
      </c>
      <c r="D10" s="31" t="s">
        <v>72</v>
      </c>
      <c r="E10" s="31"/>
      <c r="F10" s="31"/>
      <c r="G10" s="98">
        <v>0.06</v>
      </c>
      <c r="H10" s="31"/>
      <c r="I10" s="31"/>
      <c r="J10" s="31" t="s">
        <v>72</v>
      </c>
      <c r="K10" s="31"/>
      <c r="L10" s="31"/>
      <c r="M10" s="98">
        <v>0.05</v>
      </c>
      <c r="N10" s="31"/>
      <c r="O10" s="25"/>
      <c r="P10" s="25"/>
      <c r="Q10" s="25"/>
      <c r="R10" s="25"/>
      <c r="S10" s="25"/>
      <c r="T10" s="32"/>
      <c r="U10" s="25"/>
      <c r="V10" s="31" t="s">
        <v>72</v>
      </c>
      <c r="W10" s="25"/>
      <c r="X10" s="25"/>
      <c r="Y10" s="98">
        <v>0.06</v>
      </c>
      <c r="Z10" s="67"/>
      <c r="AA10" s="67"/>
      <c r="AB10" s="16"/>
      <c r="AC10" s="16"/>
      <c r="AD10" s="16"/>
      <c r="AE10" s="16"/>
      <c r="AF10" s="16"/>
    </row>
    <row r="11" spans="2:32" s="19" customFormat="1" x14ac:dyDescent="0.15">
      <c r="B11" s="18" t="s">
        <v>17</v>
      </c>
      <c r="D11" s="25" t="s">
        <v>73</v>
      </c>
      <c r="E11" s="25"/>
      <c r="F11" s="25"/>
      <c r="G11" s="98">
        <v>0.05</v>
      </c>
      <c r="H11" s="25"/>
      <c r="I11" s="25"/>
      <c r="J11" s="25" t="s">
        <v>73</v>
      </c>
      <c r="K11" s="25"/>
      <c r="L11" s="25"/>
      <c r="M11" s="98">
        <v>0.05</v>
      </c>
      <c r="N11" s="25"/>
      <c r="O11" s="25"/>
      <c r="P11" s="25" t="s">
        <v>73</v>
      </c>
      <c r="Q11" s="25"/>
      <c r="R11" s="25"/>
      <c r="S11" s="98">
        <v>0.06</v>
      </c>
      <c r="T11" s="25"/>
      <c r="U11" s="25"/>
      <c r="V11" s="25"/>
      <c r="W11" s="25"/>
      <c r="X11" s="25"/>
      <c r="Y11" s="25"/>
      <c r="Z11" s="12"/>
      <c r="AA11" s="12"/>
      <c r="AC11" s="16"/>
      <c r="AD11" s="16"/>
      <c r="AE11" s="16"/>
      <c r="AF11" s="16"/>
    </row>
    <row r="12" spans="2:32" s="19" customFormat="1" x14ac:dyDescent="0.15">
      <c r="B12" s="18"/>
      <c r="D12" s="25" t="s">
        <v>74</v>
      </c>
      <c r="E12" s="25"/>
      <c r="F12" s="25"/>
      <c r="G12" s="98">
        <v>0.05</v>
      </c>
      <c r="H12" s="25"/>
      <c r="I12" s="25"/>
      <c r="J12" s="25"/>
      <c r="K12" s="25"/>
      <c r="L12" s="25"/>
      <c r="M12" s="25"/>
      <c r="N12" s="25"/>
      <c r="O12" s="25"/>
      <c r="P12" s="25"/>
      <c r="Q12" s="25"/>
      <c r="R12" s="25"/>
      <c r="S12" s="25"/>
      <c r="T12" s="25"/>
      <c r="U12" s="25"/>
      <c r="V12" s="25"/>
      <c r="W12" s="25"/>
      <c r="X12" s="25"/>
      <c r="Y12" s="25"/>
      <c r="Z12" s="12"/>
      <c r="AA12" s="12"/>
      <c r="AB12" s="30"/>
      <c r="AC12" s="16"/>
      <c r="AD12" s="16"/>
      <c r="AE12" s="16"/>
      <c r="AF12" s="16"/>
    </row>
    <row r="13" spans="2:32" s="19" customFormat="1" x14ac:dyDescent="0.15">
      <c r="B13" s="18" t="s">
        <v>20</v>
      </c>
      <c r="D13" s="25" t="s">
        <v>75</v>
      </c>
      <c r="E13" s="25"/>
      <c r="F13" s="25"/>
      <c r="G13" s="98">
        <v>0.05</v>
      </c>
      <c r="H13" s="25"/>
      <c r="I13" s="25"/>
      <c r="J13" s="25" t="s">
        <v>75</v>
      </c>
      <c r="K13" s="25"/>
      <c r="L13" s="25"/>
      <c r="M13" s="98">
        <v>0.04</v>
      </c>
      <c r="N13" s="25"/>
      <c r="O13" s="25"/>
      <c r="P13" s="25" t="s">
        <v>75</v>
      </c>
      <c r="Q13" s="36"/>
      <c r="R13" s="36"/>
      <c r="S13" s="98">
        <v>0.06</v>
      </c>
      <c r="T13" s="25"/>
      <c r="U13" s="25"/>
      <c r="V13" s="25" t="s">
        <v>75</v>
      </c>
      <c r="W13" s="25"/>
      <c r="X13" s="25"/>
      <c r="Y13" s="98">
        <v>0.05</v>
      </c>
      <c r="Z13" s="67"/>
      <c r="AA13" s="67"/>
      <c r="AB13" s="16"/>
      <c r="AC13" s="16"/>
      <c r="AD13" s="16"/>
      <c r="AE13" s="16"/>
      <c r="AF13" s="16"/>
    </row>
    <row r="14" spans="2:32" s="19" customFormat="1" x14ac:dyDescent="0.15">
      <c r="B14" s="18"/>
      <c r="D14" s="25"/>
      <c r="E14" s="25"/>
      <c r="F14" s="25"/>
      <c r="G14" s="98"/>
      <c r="H14" s="25"/>
      <c r="I14" s="25"/>
      <c r="J14" s="25" t="s">
        <v>22</v>
      </c>
      <c r="K14" s="25"/>
      <c r="L14" s="25"/>
      <c r="M14" s="98">
        <v>0.03</v>
      </c>
      <c r="N14" s="25"/>
      <c r="O14" s="25"/>
      <c r="P14" s="25"/>
      <c r="Q14" s="25"/>
      <c r="R14" s="25"/>
      <c r="S14" s="103"/>
      <c r="T14" s="25"/>
      <c r="U14" s="25"/>
      <c r="V14" s="25" t="s">
        <v>22</v>
      </c>
      <c r="W14" s="25"/>
      <c r="X14" s="25"/>
      <c r="Y14" s="98">
        <v>0.04</v>
      </c>
      <c r="Z14" s="67"/>
      <c r="AA14" s="67"/>
      <c r="AB14" s="16"/>
      <c r="AC14" s="16"/>
      <c r="AD14" s="16"/>
      <c r="AE14" s="16"/>
      <c r="AF14" s="16"/>
    </row>
    <row r="15" spans="2:32" s="19" customFormat="1" x14ac:dyDescent="0.15">
      <c r="B15" s="54" t="s">
        <v>23</v>
      </c>
      <c r="C15" s="12"/>
      <c r="D15" s="68" t="s">
        <v>24</v>
      </c>
      <c r="E15" s="36"/>
      <c r="F15" s="36"/>
      <c r="G15" s="99">
        <v>0.04</v>
      </c>
      <c r="H15" s="36"/>
      <c r="I15" s="36"/>
      <c r="J15" s="68" t="s">
        <v>24</v>
      </c>
      <c r="K15" s="36"/>
      <c r="L15" s="36"/>
      <c r="M15" s="99">
        <v>0.03</v>
      </c>
      <c r="N15" s="36"/>
      <c r="O15" s="36"/>
      <c r="P15" s="68" t="s">
        <v>24</v>
      </c>
      <c r="Q15" s="104"/>
      <c r="R15" s="104"/>
      <c r="S15" s="99">
        <v>0.03</v>
      </c>
      <c r="T15" s="36"/>
      <c r="U15" s="36"/>
      <c r="V15" s="36"/>
      <c r="W15" s="36"/>
      <c r="X15" s="36"/>
      <c r="Y15" s="58"/>
      <c r="Z15" s="37"/>
      <c r="AA15" s="37"/>
      <c r="AB15" s="16"/>
      <c r="AC15" s="16"/>
      <c r="AD15" s="16"/>
      <c r="AE15" s="16"/>
      <c r="AF15" s="16"/>
    </row>
    <row r="16" spans="2:32" s="19" customFormat="1" x14ac:dyDescent="0.15">
      <c r="B16" s="54"/>
      <c r="C16" s="12"/>
      <c r="D16" s="68"/>
      <c r="E16" s="36"/>
      <c r="F16" s="36"/>
      <c r="G16" s="99"/>
      <c r="H16" s="36"/>
      <c r="I16" s="36"/>
      <c r="J16" s="68"/>
      <c r="K16" s="36"/>
      <c r="L16" s="36"/>
      <c r="M16" s="99"/>
      <c r="N16" s="36"/>
      <c r="O16" s="36"/>
      <c r="P16" s="68"/>
      <c r="Q16" s="104"/>
      <c r="R16" s="104"/>
      <c r="S16" s="99"/>
      <c r="T16" s="36"/>
      <c r="U16" s="36"/>
      <c r="V16" s="36"/>
      <c r="W16" s="36"/>
      <c r="X16" s="36"/>
      <c r="Y16" s="58"/>
      <c r="Z16" s="37"/>
      <c r="AA16" s="37"/>
      <c r="AB16" s="16"/>
      <c r="AC16" s="16"/>
      <c r="AD16" s="16"/>
      <c r="AE16" s="16"/>
      <c r="AF16" s="16"/>
    </row>
    <row r="17" spans="2:32" s="17" customFormat="1" ht="14" x14ac:dyDescent="0.2">
      <c r="B17" s="33" t="s">
        <v>25</v>
      </c>
      <c r="C17" s="34"/>
      <c r="D17" s="34"/>
      <c r="E17" s="34"/>
      <c r="F17" s="34"/>
      <c r="G17" s="35">
        <f>SUM(G18:G25)</f>
        <v>0.60000000000000009</v>
      </c>
      <c r="H17" s="34"/>
      <c r="I17" s="29"/>
      <c r="J17" s="34"/>
      <c r="K17" s="34"/>
      <c r="L17" s="34"/>
      <c r="M17" s="35">
        <f>SUM(M18:M25)</f>
        <v>0.60000000000000009</v>
      </c>
      <c r="N17" s="34"/>
      <c r="O17" s="29"/>
      <c r="P17" s="34"/>
      <c r="Q17" s="34"/>
      <c r="R17" s="34"/>
      <c r="S17" s="35">
        <f>SUM(S18:S25)</f>
        <v>0.60000000000000009</v>
      </c>
      <c r="T17" s="34"/>
      <c r="U17" s="29"/>
      <c r="V17" s="34"/>
      <c r="W17" s="34"/>
      <c r="X17" s="34"/>
      <c r="Y17" s="35">
        <f>SUM(Y18:Y25)</f>
        <v>0.60000000000000009</v>
      </c>
      <c r="Z17" s="66"/>
      <c r="AA17" s="66"/>
      <c r="AB17"/>
      <c r="AC17"/>
      <c r="AD17"/>
    </row>
    <row r="18" spans="2:32" s="19" customFormat="1" x14ac:dyDescent="0.15">
      <c r="B18" s="96" t="s">
        <v>83</v>
      </c>
      <c r="C18" s="12"/>
      <c r="D18" s="12" t="s">
        <v>85</v>
      </c>
      <c r="E18" s="12"/>
      <c r="F18" s="12"/>
      <c r="G18" s="37">
        <v>0.18</v>
      </c>
      <c r="H18" s="12"/>
      <c r="I18" s="12"/>
      <c r="J18" s="12" t="s">
        <v>85</v>
      </c>
      <c r="K18" s="12"/>
      <c r="L18" s="12"/>
      <c r="M18" s="37">
        <v>0.18</v>
      </c>
      <c r="N18" s="12"/>
      <c r="O18" s="12"/>
      <c r="P18" s="12" t="s">
        <v>85</v>
      </c>
      <c r="Q18" s="12"/>
      <c r="R18" s="12"/>
      <c r="S18" s="37">
        <v>0.18</v>
      </c>
      <c r="T18" s="12"/>
      <c r="U18" s="12"/>
      <c r="V18" s="12" t="s">
        <v>85</v>
      </c>
      <c r="W18" s="12"/>
      <c r="X18" s="12"/>
      <c r="Y18" s="37">
        <v>0.18</v>
      </c>
      <c r="Z18" s="37"/>
      <c r="AA18" s="37"/>
      <c r="AB18" s="16"/>
      <c r="AC18" s="16"/>
      <c r="AD18" s="16"/>
      <c r="AE18" s="16"/>
      <c r="AF18" s="16"/>
    </row>
    <row r="19" spans="2:32" s="19" customFormat="1" x14ac:dyDescent="0.15">
      <c r="B19" s="96"/>
      <c r="C19" s="12"/>
      <c r="D19" s="12" t="s">
        <v>86</v>
      </c>
      <c r="E19" s="12"/>
      <c r="F19" s="12"/>
      <c r="G19" s="37">
        <v>0.06</v>
      </c>
      <c r="H19" s="12"/>
      <c r="I19" s="12"/>
      <c r="J19" s="12" t="s">
        <v>86</v>
      </c>
      <c r="K19" s="12"/>
      <c r="L19" s="12"/>
      <c r="M19" s="37">
        <v>0.06</v>
      </c>
      <c r="N19" s="12"/>
      <c r="O19" s="12"/>
      <c r="P19" s="12" t="s">
        <v>86</v>
      </c>
      <c r="Q19" s="12"/>
      <c r="R19" s="12"/>
      <c r="S19" s="37">
        <v>0.06</v>
      </c>
      <c r="T19" s="12"/>
      <c r="U19" s="12"/>
      <c r="V19" s="12" t="s">
        <v>86</v>
      </c>
      <c r="W19" s="12"/>
      <c r="X19" s="12"/>
      <c r="Y19" s="37">
        <v>0.06</v>
      </c>
      <c r="Z19" s="37"/>
      <c r="AA19" s="37"/>
      <c r="AB19" s="16"/>
      <c r="AC19" s="16"/>
      <c r="AD19" s="16"/>
      <c r="AE19" s="16"/>
      <c r="AF19" s="16"/>
    </row>
    <row r="20" spans="2:32" s="19" customFormat="1" x14ac:dyDescent="0.15">
      <c r="B20" s="54" t="s">
        <v>76</v>
      </c>
      <c r="C20" s="12"/>
      <c r="D20" s="12" t="s">
        <v>79</v>
      </c>
      <c r="E20" s="12"/>
      <c r="F20" s="12"/>
      <c r="G20" s="37">
        <v>0.2</v>
      </c>
      <c r="H20" s="12"/>
      <c r="I20" s="12"/>
      <c r="J20" s="12" t="s">
        <v>79</v>
      </c>
      <c r="K20" s="12"/>
      <c r="L20" s="12"/>
      <c r="M20" s="37">
        <v>0.2</v>
      </c>
      <c r="N20" s="12"/>
      <c r="O20" s="12"/>
      <c r="P20" s="12" t="s">
        <v>79</v>
      </c>
      <c r="Q20" s="12"/>
      <c r="R20" s="12"/>
      <c r="S20" s="37">
        <v>0.2</v>
      </c>
      <c r="T20" s="12"/>
      <c r="U20" s="12"/>
      <c r="V20" s="12" t="s">
        <v>79</v>
      </c>
      <c r="W20" s="12"/>
      <c r="X20" s="12"/>
      <c r="Y20" s="37">
        <v>0.2</v>
      </c>
      <c r="Z20" s="37"/>
      <c r="AA20" s="37"/>
      <c r="AB20" s="16"/>
      <c r="AC20" s="16"/>
      <c r="AD20" s="16"/>
      <c r="AE20" s="16"/>
      <c r="AF20" s="16"/>
    </row>
    <row r="21" spans="2:32" s="19" customFormat="1" x14ac:dyDescent="0.15">
      <c r="B21" s="54"/>
      <c r="C21" s="12"/>
      <c r="D21" s="12" t="s">
        <v>88</v>
      </c>
      <c r="E21" s="12"/>
      <c r="F21" s="12"/>
      <c r="G21" s="37">
        <v>0.06</v>
      </c>
      <c r="H21" s="12"/>
      <c r="I21" s="12"/>
      <c r="J21" s="12" t="s">
        <v>77</v>
      </c>
      <c r="K21" s="12"/>
      <c r="L21" s="12"/>
      <c r="M21" s="37">
        <v>0.06</v>
      </c>
      <c r="N21" s="12"/>
      <c r="O21" s="12"/>
      <c r="P21" s="36" t="s">
        <v>77</v>
      </c>
      <c r="Q21" s="36"/>
      <c r="R21" s="36"/>
      <c r="S21" s="58">
        <v>0.04</v>
      </c>
      <c r="T21" s="12"/>
      <c r="U21" s="12"/>
      <c r="V21" s="12" t="s">
        <v>77</v>
      </c>
      <c r="W21" s="12"/>
      <c r="X21" s="12"/>
      <c r="Y21" s="37">
        <v>0.06</v>
      </c>
      <c r="Z21" s="37"/>
      <c r="AA21" s="37"/>
      <c r="AB21" s="16"/>
      <c r="AC21" s="16"/>
      <c r="AD21" s="16"/>
      <c r="AE21" s="16"/>
      <c r="AF21" s="16"/>
    </row>
    <row r="22" spans="2:32" s="19" customFormat="1" x14ac:dyDescent="0.15">
      <c r="B22" s="54"/>
      <c r="C22" s="12"/>
      <c r="D22" s="12" t="s">
        <v>84</v>
      </c>
      <c r="E22" s="12"/>
      <c r="F22" s="12"/>
      <c r="G22" s="37">
        <v>0.06</v>
      </c>
      <c r="H22" s="12"/>
      <c r="I22" s="12"/>
      <c r="J22" s="12" t="s">
        <v>84</v>
      </c>
      <c r="K22" s="12"/>
      <c r="L22" s="12"/>
      <c r="M22" s="37">
        <v>0.06</v>
      </c>
      <c r="N22" s="12"/>
      <c r="O22" s="12"/>
      <c r="P22" s="36" t="s">
        <v>84</v>
      </c>
      <c r="Q22" s="36"/>
      <c r="R22" s="36"/>
      <c r="S22" s="58">
        <v>0.04</v>
      </c>
      <c r="T22" s="12"/>
      <c r="U22" s="12"/>
      <c r="V22" s="12" t="s">
        <v>84</v>
      </c>
      <c r="W22" s="12"/>
      <c r="X22" s="12"/>
      <c r="Y22" s="37">
        <v>0.06</v>
      </c>
      <c r="Z22" s="37"/>
      <c r="AA22" s="37"/>
      <c r="AB22" s="16"/>
      <c r="AC22" s="16"/>
      <c r="AD22" s="16"/>
      <c r="AE22" s="16"/>
      <c r="AF22" s="16"/>
    </row>
    <row r="23" spans="2:32" s="19" customFormat="1" ht="14" x14ac:dyDescent="0.2">
      <c r="B23" s="54" t="s">
        <v>33</v>
      </c>
      <c r="C23" s="12"/>
      <c r="D23" s="12"/>
      <c r="E23" s="12"/>
      <c r="F23" s="12"/>
      <c r="G23" s="12"/>
      <c r="H23" s="12"/>
      <c r="I23" s="12"/>
      <c r="J23" s="72"/>
      <c r="K23" s="12"/>
      <c r="L23" s="12"/>
      <c r="M23" s="12"/>
      <c r="N23" s="12"/>
      <c r="O23" s="12"/>
      <c r="P23" s="25" t="s">
        <v>35</v>
      </c>
      <c r="Q23" s="36"/>
      <c r="R23" s="36"/>
      <c r="S23" s="58">
        <v>0.04</v>
      </c>
      <c r="T23" s="12"/>
      <c r="U23" s="12"/>
      <c r="V23" s="12"/>
      <c r="W23" s="12"/>
      <c r="X23" s="12"/>
      <c r="Y23" s="12"/>
      <c r="Z23" s="37"/>
      <c r="AA23" s="37"/>
      <c r="AB23" s="16"/>
      <c r="AC23" s="16"/>
      <c r="AD23" s="16"/>
      <c r="AE23" s="16"/>
      <c r="AF23" s="16"/>
    </row>
    <row r="24" spans="2:32" s="19" customFormat="1" x14ac:dyDescent="0.15">
      <c r="B24" s="54" t="s">
        <v>37</v>
      </c>
      <c r="D24" s="12" t="s">
        <v>87</v>
      </c>
      <c r="G24" s="37">
        <v>0.04</v>
      </c>
      <c r="J24" s="12" t="s">
        <v>78</v>
      </c>
      <c r="M24" s="37">
        <v>0.04</v>
      </c>
      <c r="P24" s="36" t="s">
        <v>78</v>
      </c>
      <c r="Q24" s="25"/>
      <c r="R24" s="25"/>
      <c r="S24" s="58">
        <v>0.04</v>
      </c>
      <c r="V24" s="12" t="s">
        <v>78</v>
      </c>
      <c r="Y24" s="37">
        <v>0.04</v>
      </c>
      <c r="Z24" s="37"/>
      <c r="AA24" s="37"/>
      <c r="AB24" s="16"/>
      <c r="AC24" s="16"/>
      <c r="AD24" s="16"/>
      <c r="AE24" s="16"/>
      <c r="AF24" s="16"/>
    </row>
    <row r="25" spans="2:32" s="19" customFormat="1" x14ac:dyDescent="0.15">
      <c r="B25" s="54"/>
      <c r="D25" s="12"/>
      <c r="G25" s="21"/>
      <c r="J25" s="12"/>
      <c r="M25" s="21"/>
      <c r="P25" s="12"/>
      <c r="S25" s="21"/>
      <c r="V25" s="12"/>
      <c r="Y25" s="21"/>
      <c r="Z25" s="37"/>
      <c r="AA25" s="37"/>
      <c r="AB25" s="16"/>
      <c r="AC25" s="16"/>
      <c r="AD25" s="16"/>
      <c r="AE25" s="16"/>
      <c r="AF25" s="16"/>
    </row>
    <row r="26" spans="2:32" s="17" customFormat="1" x14ac:dyDescent="0.15">
      <c r="B26" s="38"/>
      <c r="C26" s="38"/>
      <c r="D26" s="39"/>
      <c r="E26" s="39"/>
      <c r="F26" s="39"/>
      <c r="G26" s="40"/>
      <c r="H26" s="41"/>
      <c r="I26" s="29"/>
      <c r="J26" s="39"/>
      <c r="K26" s="39"/>
      <c r="L26" s="39"/>
      <c r="M26" s="40"/>
      <c r="N26" s="41"/>
      <c r="O26" s="29"/>
      <c r="P26" s="39"/>
      <c r="Q26" s="39"/>
      <c r="R26" s="39"/>
      <c r="S26" s="40"/>
      <c r="T26" s="41"/>
      <c r="U26" s="29"/>
      <c r="V26" s="39"/>
      <c r="W26" s="39"/>
      <c r="X26" s="39"/>
      <c r="Y26" s="40"/>
      <c r="Z26" s="66"/>
      <c r="AA26" s="66"/>
    </row>
    <row r="27" spans="2:32" s="19" customFormat="1" x14ac:dyDescent="0.15">
      <c r="B27" s="18"/>
      <c r="G27" s="21"/>
      <c r="M27" s="21"/>
      <c r="S27" s="21"/>
      <c r="Y27" s="21"/>
      <c r="Z27" s="37"/>
      <c r="AA27" s="37"/>
      <c r="AB27" s="16"/>
      <c r="AC27" s="16"/>
      <c r="AD27" s="16"/>
      <c r="AE27" s="16"/>
      <c r="AF27" s="16"/>
    </row>
    <row r="28" spans="2:32" s="17" customFormat="1" x14ac:dyDescent="0.15">
      <c r="B28" s="42"/>
      <c r="C28" s="43"/>
      <c r="D28" s="43"/>
      <c r="E28" s="43"/>
      <c r="F28" s="43"/>
      <c r="G28" s="42">
        <f>G3+G9+G17+G26</f>
        <v>1</v>
      </c>
      <c r="H28" s="42">
        <f>H3+H9+H17+H26</f>
        <v>0</v>
      </c>
      <c r="I28" s="44">
        <f>I3+I9+I17+I26</f>
        <v>0</v>
      </c>
      <c r="J28" s="42"/>
      <c r="K28" s="42">
        <f>K3+K9+K17+K26</f>
        <v>0</v>
      </c>
      <c r="L28" s="42">
        <f>L3+L9+L17+L26</f>
        <v>0</v>
      </c>
      <c r="M28" s="42">
        <f>M3+M9+M17+M26</f>
        <v>1</v>
      </c>
      <c r="N28" s="42">
        <f>N3+N9+N17+N26</f>
        <v>0</v>
      </c>
      <c r="O28" s="44">
        <f>O3+O9+O17+O26</f>
        <v>0</v>
      </c>
      <c r="P28" s="42"/>
      <c r="Q28" s="42">
        <f>Q3+Q9+Q17+Q26</f>
        <v>0</v>
      </c>
      <c r="R28" s="42">
        <f>R3+R9+R17+R26</f>
        <v>0</v>
      </c>
      <c r="S28" s="42">
        <f>S3+S9+S17+S26</f>
        <v>1</v>
      </c>
      <c r="T28" s="42">
        <f>T3+T9+T17+T26</f>
        <v>0</v>
      </c>
      <c r="U28" s="44">
        <f>U3+U9+U17+U26</f>
        <v>0</v>
      </c>
      <c r="V28" s="42"/>
      <c r="W28" s="42">
        <f>W3+W9+W17+W26</f>
        <v>0</v>
      </c>
      <c r="X28" s="42">
        <f>X3+X9+X17+X26</f>
        <v>0</v>
      </c>
      <c r="Y28" s="42">
        <f>Y3+Y9+Y17+Y26</f>
        <v>1</v>
      </c>
      <c r="Z28" s="69"/>
      <c r="AA28" s="69"/>
    </row>
    <row r="29" spans="2:32" s="16" customFormat="1" x14ac:dyDescent="0.15">
      <c r="B29" s="44"/>
      <c r="C29" s="45"/>
      <c r="D29" s="45"/>
      <c r="E29" s="45"/>
      <c r="F29" s="45"/>
      <c r="G29" s="44"/>
      <c r="H29" s="44"/>
      <c r="I29" s="44"/>
      <c r="J29" s="44"/>
      <c r="K29" s="44"/>
      <c r="L29" s="44"/>
      <c r="M29" s="44"/>
      <c r="N29" s="44"/>
      <c r="O29" s="44"/>
      <c r="P29" s="44"/>
      <c r="Q29" s="44"/>
      <c r="R29" s="44"/>
      <c r="S29" s="44"/>
      <c r="T29" s="44"/>
      <c r="U29" s="44"/>
      <c r="V29" s="44"/>
      <c r="W29" s="44"/>
      <c r="X29" s="44"/>
      <c r="Y29" s="44"/>
      <c r="Z29" s="44"/>
      <c r="AA29" s="44"/>
    </row>
    <row r="30" spans="2:32" s="17" customFormat="1" x14ac:dyDescent="0.15">
      <c r="B30" s="54"/>
      <c r="C30" s="12"/>
      <c r="D30" s="70"/>
      <c r="E30" s="12"/>
      <c r="F30" s="12"/>
      <c r="G30" s="52"/>
      <c r="H30" s="12"/>
      <c r="I30" s="19"/>
      <c r="J30" s="12"/>
      <c r="K30" s="12"/>
      <c r="L30" s="12"/>
      <c r="M30" s="52"/>
      <c r="N30" s="12"/>
      <c r="O30" s="19"/>
      <c r="P30" s="12"/>
      <c r="Q30" s="12"/>
      <c r="R30" s="12"/>
      <c r="S30" s="52"/>
      <c r="T30" s="12"/>
      <c r="U30" s="19"/>
      <c r="V30" s="12"/>
      <c r="W30" s="12"/>
      <c r="X30" s="12"/>
      <c r="Y30" s="52"/>
      <c r="Z30" s="71"/>
      <c r="AA30" s="71"/>
    </row>
    <row r="31" spans="2:32" s="17" customFormat="1" x14ac:dyDescent="0.15">
      <c r="B31" s="54"/>
      <c r="C31" s="12"/>
      <c r="D31" s="70"/>
      <c r="E31" s="12"/>
      <c r="F31" s="12"/>
      <c r="H31" s="12"/>
      <c r="I31" s="19"/>
      <c r="J31" s="12"/>
      <c r="K31" s="12"/>
      <c r="L31" s="12"/>
      <c r="N31" s="12"/>
      <c r="O31" s="19"/>
      <c r="P31" s="12"/>
      <c r="Q31" s="12"/>
      <c r="R31" s="12"/>
      <c r="T31" s="12"/>
      <c r="U31" s="19"/>
      <c r="V31" s="12"/>
      <c r="W31" s="12"/>
      <c r="X31" s="12"/>
      <c r="Z31" s="71"/>
      <c r="AA31" s="71"/>
    </row>
    <row r="32" spans="2:32" s="17" customFormat="1" x14ac:dyDescent="0.15">
      <c r="B32" s="54"/>
      <c r="C32" s="12"/>
      <c r="D32" s="70"/>
      <c r="E32" s="12"/>
      <c r="F32" s="12"/>
      <c r="H32" s="12"/>
      <c r="I32" s="19"/>
      <c r="J32" s="12"/>
      <c r="K32" s="12"/>
      <c r="L32" s="12"/>
      <c r="N32" s="12"/>
      <c r="O32" s="19"/>
      <c r="P32" s="12"/>
      <c r="Q32" s="12"/>
      <c r="R32" s="12"/>
      <c r="T32" s="12"/>
      <c r="U32" s="19"/>
      <c r="V32" s="12"/>
      <c r="W32" s="12"/>
      <c r="X32" s="12"/>
      <c r="Z32" s="71"/>
      <c r="AA32" s="71"/>
    </row>
    <row r="33" spans="2:27" s="17" customFormat="1" x14ac:dyDescent="0.15">
      <c r="B33" s="54"/>
      <c r="C33" s="12"/>
      <c r="D33" s="70"/>
      <c r="E33" s="12"/>
      <c r="F33" s="12"/>
      <c r="H33" s="12"/>
      <c r="I33" s="19"/>
      <c r="J33" s="12"/>
      <c r="K33" s="12"/>
      <c r="L33" s="12"/>
      <c r="N33" s="12"/>
      <c r="O33" s="19"/>
      <c r="P33" s="12"/>
      <c r="Q33" s="12"/>
      <c r="R33" s="12"/>
      <c r="T33" s="12"/>
      <c r="U33" s="19"/>
      <c r="V33" s="12"/>
      <c r="W33" s="12"/>
      <c r="X33" s="12"/>
      <c r="Z33" s="71"/>
      <c r="AA33" s="71"/>
    </row>
    <row r="34" spans="2:27" s="17" customFormat="1" x14ac:dyDescent="0.15">
      <c r="B34" s="54"/>
      <c r="C34" s="12"/>
      <c r="D34" s="70"/>
      <c r="E34" s="12"/>
      <c r="F34" s="12"/>
      <c r="H34" s="12"/>
      <c r="I34" s="19"/>
      <c r="J34" s="12"/>
      <c r="K34" s="12"/>
      <c r="L34" s="12"/>
      <c r="N34" s="12"/>
      <c r="O34" s="19"/>
      <c r="P34" s="12"/>
      <c r="Q34" s="12"/>
      <c r="R34" s="12"/>
      <c r="T34" s="12"/>
      <c r="U34" s="19"/>
      <c r="V34" s="12"/>
      <c r="W34" s="12"/>
      <c r="X34" s="12"/>
      <c r="Z34" s="71"/>
      <c r="AA34" s="71"/>
    </row>
    <row r="35" spans="2:27" s="17" customFormat="1" x14ac:dyDescent="0.15">
      <c r="B35" s="54"/>
      <c r="C35" s="12"/>
      <c r="D35" s="70"/>
      <c r="E35" s="12"/>
      <c r="F35" s="12"/>
      <c r="H35" s="12"/>
      <c r="I35" s="19"/>
      <c r="J35" s="12"/>
      <c r="K35" s="12"/>
      <c r="L35" s="12"/>
      <c r="N35" s="12"/>
      <c r="O35" s="19"/>
      <c r="P35" s="12"/>
      <c r="Q35" s="12"/>
      <c r="R35" s="12"/>
      <c r="T35" s="12"/>
      <c r="U35" s="19"/>
      <c r="V35" s="12"/>
      <c r="W35" s="12"/>
      <c r="X35" s="12"/>
      <c r="Z35" s="71"/>
      <c r="AA35" s="71"/>
    </row>
    <row r="36" spans="2:27" s="17" customFormat="1" x14ac:dyDescent="0.15">
      <c r="B36" s="54"/>
      <c r="C36" s="12"/>
      <c r="D36" s="70"/>
      <c r="E36" s="12"/>
      <c r="F36" s="12"/>
      <c r="H36" s="12"/>
      <c r="I36" s="19"/>
      <c r="J36" s="12"/>
      <c r="K36" s="12"/>
      <c r="L36" s="12"/>
      <c r="N36" s="12"/>
      <c r="O36" s="19"/>
      <c r="P36" s="12"/>
      <c r="Q36" s="12"/>
      <c r="R36" s="12"/>
      <c r="T36" s="12"/>
      <c r="U36" s="19"/>
      <c r="V36" s="12"/>
      <c r="W36" s="12"/>
      <c r="X36" s="12"/>
      <c r="Z36" s="71"/>
      <c r="AA36" s="71"/>
    </row>
    <row r="37" spans="2:27" s="17" customFormat="1" x14ac:dyDescent="0.15">
      <c r="B37" s="54"/>
      <c r="C37" s="12"/>
      <c r="D37" s="70"/>
      <c r="E37" s="12"/>
      <c r="F37" s="12"/>
      <c r="H37" s="12"/>
      <c r="I37" s="19"/>
      <c r="J37" s="12"/>
      <c r="K37" s="12"/>
      <c r="L37" s="12"/>
      <c r="N37" s="12"/>
      <c r="O37" s="19"/>
      <c r="P37" s="12"/>
      <c r="Q37" s="12"/>
      <c r="R37" s="12"/>
      <c r="T37" s="12"/>
      <c r="U37" s="19"/>
      <c r="V37" s="12"/>
      <c r="W37" s="12"/>
      <c r="X37" s="12"/>
      <c r="Z37" s="71"/>
      <c r="AA37" s="71"/>
    </row>
    <row r="38" spans="2:27" s="17" customFormat="1" x14ac:dyDescent="0.15">
      <c r="B38" s="54"/>
      <c r="C38" s="12"/>
      <c r="D38" s="70"/>
      <c r="E38" s="12"/>
      <c r="F38" s="12"/>
      <c r="H38" s="12"/>
      <c r="I38" s="19"/>
      <c r="J38" s="12"/>
      <c r="K38" s="12"/>
      <c r="L38" s="12"/>
      <c r="N38" s="12"/>
      <c r="O38" s="19"/>
      <c r="P38" s="12"/>
      <c r="Q38" s="12"/>
      <c r="R38" s="12"/>
      <c r="T38" s="12"/>
      <c r="U38" s="19"/>
      <c r="V38" s="12"/>
      <c r="W38" s="12"/>
      <c r="X38" s="12"/>
      <c r="Z38" s="71"/>
      <c r="AA38" s="71"/>
    </row>
    <row r="39" spans="2:27" s="17" customFormat="1" x14ac:dyDescent="0.15">
      <c r="B39" s="54"/>
      <c r="C39" s="12"/>
      <c r="D39" s="70"/>
      <c r="E39" s="12"/>
      <c r="F39" s="12"/>
      <c r="H39" s="12"/>
      <c r="I39" s="19"/>
      <c r="J39" s="12"/>
      <c r="K39" s="12"/>
      <c r="L39" s="12"/>
      <c r="N39" s="12"/>
      <c r="O39" s="19"/>
      <c r="P39" s="12"/>
      <c r="Q39" s="12"/>
      <c r="R39" s="12"/>
      <c r="T39" s="12"/>
      <c r="U39" s="19"/>
      <c r="V39" s="12"/>
      <c r="W39" s="12"/>
      <c r="X39" s="12"/>
      <c r="Z39" s="71"/>
      <c r="AA39" s="71"/>
    </row>
    <row r="40" spans="2:27" s="17" customFormat="1" x14ac:dyDescent="0.15">
      <c r="B40" s="54"/>
      <c r="C40" s="12"/>
      <c r="D40" s="70"/>
      <c r="E40" s="12"/>
      <c r="F40" s="12"/>
      <c r="H40" s="12"/>
      <c r="I40" s="19"/>
      <c r="J40" s="12"/>
      <c r="K40" s="12"/>
      <c r="L40" s="12"/>
      <c r="N40" s="12"/>
      <c r="O40" s="19"/>
      <c r="P40" s="12"/>
      <c r="Q40" s="12"/>
      <c r="R40" s="12"/>
      <c r="T40" s="12"/>
      <c r="U40" s="19"/>
      <c r="V40" s="12"/>
      <c r="W40" s="12"/>
      <c r="X40" s="12"/>
      <c r="Z40" s="71"/>
      <c r="AA40" s="71"/>
    </row>
    <row r="41" spans="2:27" s="17" customFormat="1" x14ac:dyDescent="0.15">
      <c r="B41" s="54"/>
      <c r="C41" s="12"/>
      <c r="D41" s="70"/>
      <c r="E41" s="12"/>
      <c r="F41" s="12"/>
      <c r="H41" s="12"/>
      <c r="I41" s="19"/>
      <c r="J41" s="12"/>
      <c r="K41" s="12"/>
      <c r="L41" s="12"/>
      <c r="N41" s="12"/>
      <c r="O41" s="19"/>
      <c r="P41" s="12"/>
      <c r="Q41" s="12"/>
      <c r="R41" s="12"/>
      <c r="T41" s="12"/>
      <c r="U41" s="19"/>
      <c r="V41" s="12"/>
      <c r="W41" s="12"/>
      <c r="X41" s="12"/>
      <c r="Z41" s="71"/>
      <c r="AA41" s="71"/>
    </row>
    <row r="42" spans="2:27" s="17" customFormat="1" x14ac:dyDescent="0.15">
      <c r="B42" s="54"/>
      <c r="C42" s="12"/>
      <c r="D42" s="70"/>
      <c r="E42" s="12"/>
      <c r="F42" s="12"/>
      <c r="H42" s="12"/>
      <c r="I42" s="19"/>
      <c r="J42" s="12"/>
      <c r="K42" s="12"/>
      <c r="L42" s="12"/>
      <c r="N42" s="12"/>
      <c r="O42" s="19"/>
      <c r="P42" s="12"/>
      <c r="Q42" s="12"/>
      <c r="R42" s="12"/>
      <c r="T42" s="12"/>
      <c r="U42" s="19"/>
      <c r="V42" s="12"/>
      <c r="W42" s="12"/>
      <c r="X42" s="12"/>
      <c r="Z42" s="71"/>
      <c r="AA42" s="71"/>
    </row>
    <row r="43" spans="2:27" s="17" customFormat="1" x14ac:dyDescent="0.15">
      <c r="B43" s="54"/>
      <c r="C43" s="12"/>
      <c r="D43" s="70"/>
      <c r="E43" s="12"/>
      <c r="F43" s="12"/>
      <c r="H43" s="12"/>
      <c r="I43" s="19"/>
      <c r="J43" s="12"/>
      <c r="K43" s="12"/>
      <c r="L43" s="12"/>
      <c r="N43" s="12"/>
      <c r="O43" s="19"/>
      <c r="P43" s="12"/>
      <c r="Q43" s="12"/>
      <c r="R43" s="12"/>
      <c r="T43" s="12"/>
      <c r="U43" s="19"/>
      <c r="V43" s="12"/>
      <c r="W43" s="12"/>
      <c r="X43" s="12"/>
      <c r="Z43" s="71"/>
      <c r="AA43" s="71"/>
    </row>
    <row r="44" spans="2:27" s="17" customFormat="1" x14ac:dyDescent="0.15">
      <c r="B44" s="54"/>
      <c r="C44" s="12"/>
      <c r="D44" s="70"/>
      <c r="E44" s="12"/>
      <c r="F44" s="12"/>
      <c r="H44" s="12"/>
      <c r="I44" s="19"/>
      <c r="J44" s="12"/>
      <c r="K44" s="12"/>
      <c r="L44" s="12"/>
      <c r="N44" s="12"/>
      <c r="O44" s="19"/>
      <c r="P44" s="12"/>
      <c r="Q44" s="12"/>
      <c r="R44" s="12"/>
      <c r="T44" s="12"/>
      <c r="U44" s="19"/>
      <c r="V44" s="12"/>
      <c r="W44" s="12"/>
      <c r="X44" s="12"/>
      <c r="Z44" s="71"/>
      <c r="AA44" s="71"/>
    </row>
    <row r="45" spans="2:27" s="17" customFormat="1" x14ac:dyDescent="0.15">
      <c r="B45" s="54"/>
      <c r="C45" s="12"/>
      <c r="D45" s="70"/>
      <c r="E45" s="12"/>
      <c r="F45" s="12"/>
      <c r="G45" s="52"/>
      <c r="H45" s="12"/>
      <c r="I45" s="19"/>
      <c r="J45" s="70"/>
      <c r="K45" s="70"/>
      <c r="L45" s="70"/>
      <c r="M45" s="70"/>
      <c r="N45" s="70"/>
      <c r="O45" s="70"/>
      <c r="P45" s="70"/>
      <c r="Q45" s="70"/>
      <c r="R45" s="70"/>
      <c r="S45" s="70"/>
      <c r="T45" s="70"/>
      <c r="U45" s="70"/>
      <c r="V45" s="70"/>
      <c r="W45" s="70"/>
      <c r="X45" s="70"/>
      <c r="Y45" s="70"/>
      <c r="Z45" s="70"/>
      <c r="AA45" s="70"/>
    </row>
    <row r="46" spans="2:27" s="17" customFormat="1" x14ac:dyDescent="0.15">
      <c r="B46" s="54"/>
      <c r="C46" s="12"/>
      <c r="D46" s="12"/>
      <c r="E46" s="12"/>
      <c r="F46" s="12"/>
      <c r="G46" s="52"/>
      <c r="H46" s="12"/>
      <c r="I46" s="19"/>
      <c r="J46" s="70"/>
      <c r="K46" s="70"/>
      <c r="L46" s="70"/>
      <c r="M46" s="70"/>
      <c r="N46" s="70"/>
      <c r="O46" s="70"/>
      <c r="P46" s="70"/>
      <c r="Q46" s="70"/>
      <c r="R46" s="70"/>
      <c r="S46" s="70"/>
      <c r="T46" s="70"/>
      <c r="U46" s="70"/>
      <c r="V46" s="70"/>
      <c r="W46" s="70"/>
      <c r="X46" s="70"/>
      <c r="Y46" s="70"/>
      <c r="Z46" s="70"/>
      <c r="AA46" s="70"/>
    </row>
    <row r="47" spans="2:27" s="17" customFormat="1" x14ac:dyDescent="0.15">
      <c r="B47" s="54"/>
      <c r="C47" s="12"/>
      <c r="D47" s="12"/>
      <c r="E47" s="12"/>
      <c r="F47" s="12"/>
      <c r="G47" s="52"/>
      <c r="H47" s="12"/>
      <c r="I47" s="19"/>
      <c r="J47" s="70"/>
      <c r="K47" s="70"/>
      <c r="L47" s="70"/>
      <c r="M47" s="70"/>
      <c r="N47" s="70"/>
      <c r="O47" s="70"/>
      <c r="P47" s="70"/>
      <c r="Q47" s="70"/>
      <c r="R47" s="70"/>
      <c r="S47" s="70"/>
      <c r="T47" s="70"/>
      <c r="U47" s="70"/>
      <c r="V47" s="70"/>
      <c r="W47" s="70"/>
      <c r="X47" s="70"/>
      <c r="Y47" s="70"/>
      <c r="Z47" s="70"/>
      <c r="AA47" s="70"/>
    </row>
    <row r="48" spans="2:27" s="17" customFormat="1" x14ac:dyDescent="0.15">
      <c r="B48" s="54"/>
      <c r="C48" s="12"/>
      <c r="D48" s="12"/>
      <c r="E48" s="12"/>
      <c r="F48" s="12"/>
      <c r="G48" s="52"/>
      <c r="H48" s="12"/>
      <c r="I48" s="19"/>
      <c r="J48" s="70"/>
      <c r="K48" s="12"/>
      <c r="L48" s="12"/>
      <c r="M48" s="52"/>
      <c r="N48" s="12"/>
      <c r="O48" s="19"/>
      <c r="P48" s="12"/>
      <c r="Q48" s="12"/>
      <c r="R48" s="12"/>
      <c r="S48" s="52"/>
      <c r="T48" s="12"/>
      <c r="U48" s="19"/>
      <c r="V48" s="12"/>
      <c r="W48" s="12"/>
      <c r="X48" s="12"/>
      <c r="Y48" s="52"/>
      <c r="Z48" s="71"/>
      <c r="AA48" s="71"/>
    </row>
    <row r="49" spans="2:27" s="17" customFormat="1" x14ac:dyDescent="0.15">
      <c r="B49" s="54"/>
      <c r="C49" s="12"/>
      <c r="D49" s="12"/>
      <c r="E49" s="12"/>
      <c r="F49" s="12"/>
      <c r="G49" s="52"/>
      <c r="H49" s="12"/>
      <c r="I49" s="19"/>
      <c r="J49" s="70"/>
      <c r="K49" s="12"/>
      <c r="L49" s="12"/>
      <c r="M49" s="52"/>
      <c r="N49" s="12"/>
      <c r="O49" s="19"/>
      <c r="P49" s="12"/>
      <c r="Q49" s="12"/>
      <c r="R49" s="12"/>
      <c r="S49" s="52"/>
      <c r="T49" s="12"/>
      <c r="U49" s="19"/>
      <c r="V49" s="12"/>
      <c r="W49" s="12"/>
      <c r="X49" s="12"/>
      <c r="Y49" s="52"/>
      <c r="Z49" s="71"/>
      <c r="AA49" s="71"/>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6E190-305C-48BE-B0EA-7D87CA37AA5D}">
  <sheetPr codeName="Sheet6"/>
  <dimension ref="A1:AU72"/>
  <sheetViews>
    <sheetView zoomScale="120" zoomScaleNormal="120" workbookViewId="0">
      <selection activeCell="D42" sqref="D42"/>
    </sheetView>
  </sheetViews>
  <sheetFormatPr baseColWidth="10" defaultColWidth="9" defaultRowHeight="11" x14ac:dyDescent="0.15"/>
  <cols>
    <col min="1" max="1" width="31.83203125" style="146" customWidth="1"/>
    <col min="2" max="2" width="5.6640625" style="262" bestFit="1" customWidth="1"/>
    <col min="3" max="3" width="7" style="262" bestFit="1" customWidth="1"/>
    <col min="4" max="4" width="6.6640625" style="262" bestFit="1" customWidth="1"/>
    <col min="5" max="5" width="5.6640625" style="262" bestFit="1" customWidth="1"/>
    <col min="6" max="9" width="5.5" style="262" bestFit="1" customWidth="1"/>
    <col min="10" max="10" width="5.1640625" style="262" bestFit="1" customWidth="1"/>
    <col min="11" max="11" width="6.5" style="262" bestFit="1" customWidth="1"/>
    <col min="12" max="12" width="5.6640625" style="262" bestFit="1" customWidth="1"/>
    <col min="13" max="13" width="5.1640625" style="262" bestFit="1" customWidth="1"/>
    <col min="14" max="14" width="5.33203125" style="262" bestFit="1" customWidth="1"/>
    <col min="15" max="15" width="7.5" style="262" bestFit="1" customWidth="1"/>
    <col min="16" max="16" width="5.1640625" style="262" bestFit="1" customWidth="1"/>
    <col min="17" max="17" width="6.1640625" style="262" bestFit="1" customWidth="1"/>
    <col min="18" max="18" width="4.5" style="262" bestFit="1" customWidth="1"/>
    <col min="19" max="19" width="5.83203125" style="262" bestFit="1" customWidth="1"/>
    <col min="20" max="20" width="6.83203125" style="262" bestFit="1" customWidth="1"/>
    <col min="21" max="21" width="5.1640625" style="262" bestFit="1" customWidth="1"/>
    <col min="22" max="22" width="6.83203125" style="262" bestFit="1" customWidth="1"/>
    <col min="23" max="23" width="5.1640625" style="262" bestFit="1" customWidth="1"/>
    <col min="24" max="24" width="6" style="262" bestFit="1" customWidth="1"/>
    <col min="25" max="25" width="7" style="262" bestFit="1" customWidth="1"/>
    <col min="26" max="26" width="7.1640625" style="262" bestFit="1" customWidth="1"/>
    <col min="27" max="27" width="7.5" style="262" bestFit="1" customWidth="1"/>
    <col min="28" max="28" width="5" style="262" bestFit="1" customWidth="1"/>
    <col min="29" max="29" width="7.1640625" style="262" bestFit="1" customWidth="1"/>
    <col min="30" max="30" width="5.1640625" style="262" bestFit="1" customWidth="1"/>
    <col min="31" max="31" width="7.33203125" style="262" bestFit="1" customWidth="1"/>
    <col min="32" max="32" width="5.83203125" style="262" bestFit="1" customWidth="1"/>
    <col min="33" max="33" width="6.6640625" style="262" bestFit="1" customWidth="1"/>
    <col min="34" max="34" width="7.1640625" style="262" bestFit="1" customWidth="1"/>
    <col min="35" max="36" width="6" style="262" bestFit="1" customWidth="1"/>
    <col min="37" max="38" width="7.1640625" style="262" bestFit="1" customWidth="1"/>
    <col min="39" max="39" width="6" style="262" bestFit="1" customWidth="1"/>
    <col min="40" max="40" width="9.1640625" style="262" bestFit="1" customWidth="1"/>
    <col min="41" max="44" width="9" style="262"/>
    <col min="45" max="16384" width="9" style="261"/>
  </cols>
  <sheetData>
    <row r="1" spans="1:47" ht="36" x14ac:dyDescent="0.15">
      <c r="B1" s="256" t="s">
        <v>355</v>
      </c>
      <c r="C1" s="256" t="s">
        <v>356</v>
      </c>
      <c r="D1" s="256" t="s">
        <v>357</v>
      </c>
      <c r="E1" s="256" t="s">
        <v>358</v>
      </c>
      <c r="F1" s="256" t="s">
        <v>359</v>
      </c>
      <c r="G1" s="256" t="s">
        <v>360</v>
      </c>
      <c r="H1" s="256" t="s">
        <v>361</v>
      </c>
      <c r="I1" s="256" t="s">
        <v>362</v>
      </c>
      <c r="J1" s="256" t="s">
        <v>363</v>
      </c>
      <c r="K1" s="256" t="s">
        <v>364</v>
      </c>
      <c r="L1" s="256" t="s">
        <v>365</v>
      </c>
      <c r="M1" s="256" t="s">
        <v>366</v>
      </c>
      <c r="N1" s="256" t="s">
        <v>367</v>
      </c>
      <c r="O1" s="256" t="s">
        <v>368</v>
      </c>
      <c r="P1" s="256" t="s">
        <v>369</v>
      </c>
      <c r="Q1" s="256" t="s">
        <v>370</v>
      </c>
      <c r="R1" s="256" t="s">
        <v>371</v>
      </c>
      <c r="S1" s="256" t="s">
        <v>372</v>
      </c>
      <c r="T1" s="256" t="s">
        <v>373</v>
      </c>
      <c r="U1" s="256" t="s">
        <v>374</v>
      </c>
      <c r="V1" s="256" t="s">
        <v>375</v>
      </c>
      <c r="W1" s="256" t="s">
        <v>376</v>
      </c>
      <c r="X1" s="256" t="s">
        <v>377</v>
      </c>
      <c r="Y1" s="256" t="s">
        <v>378</v>
      </c>
      <c r="Z1" s="256" t="s">
        <v>379</v>
      </c>
      <c r="AA1" s="256" t="s">
        <v>380</v>
      </c>
      <c r="AB1" s="256" t="s">
        <v>0</v>
      </c>
      <c r="AC1" s="256" t="s">
        <v>381</v>
      </c>
      <c r="AD1" s="256" t="s">
        <v>382</v>
      </c>
      <c r="AE1" s="256" t="s">
        <v>383</v>
      </c>
      <c r="AF1" s="256" t="s">
        <v>384</v>
      </c>
      <c r="AG1" s="257" t="s">
        <v>385</v>
      </c>
      <c r="AH1" s="257" t="s">
        <v>386</v>
      </c>
      <c r="AI1" s="257" t="s">
        <v>387</v>
      </c>
      <c r="AJ1" s="257" t="s">
        <v>388</v>
      </c>
      <c r="AK1" s="257" t="s">
        <v>389</v>
      </c>
      <c r="AL1" s="257" t="s">
        <v>390</v>
      </c>
      <c r="AM1" s="257" t="s">
        <v>391</v>
      </c>
      <c r="AN1" s="258" t="s">
        <v>418</v>
      </c>
      <c r="AO1" s="259" t="s">
        <v>420</v>
      </c>
      <c r="AP1" s="259" t="s">
        <v>421</v>
      </c>
      <c r="AQ1" s="259" t="s">
        <v>423</v>
      </c>
      <c r="AR1" s="259" t="s">
        <v>422</v>
      </c>
      <c r="AS1" s="260"/>
      <c r="AT1" s="260"/>
      <c r="AU1" s="260"/>
    </row>
    <row r="2" spans="1:47" ht="12" x14ac:dyDescent="0.15">
      <c r="A2" s="268" t="s">
        <v>350</v>
      </c>
      <c r="B2" s="255" t="e">
        <f>SUMPRODUCT(#REF!,B$12:B$39)</f>
        <v>#REF!</v>
      </c>
      <c r="C2" s="255" t="e">
        <f>SUMPRODUCT(#REF!,C$12:C$39)</f>
        <v>#REF!</v>
      </c>
      <c r="D2" s="255" t="e">
        <f>SUMPRODUCT(#REF!,D$12:D$39)</f>
        <v>#REF!</v>
      </c>
      <c r="E2" s="255" t="e">
        <f>SUMPRODUCT(#REF!,E$12:E$39)</f>
        <v>#REF!</v>
      </c>
      <c r="F2" s="255" t="e">
        <f>SUMPRODUCT(#REF!,F$12:F$39)</f>
        <v>#REF!</v>
      </c>
      <c r="G2" s="255" t="e">
        <f>SUMPRODUCT(#REF!,G$12:G$39)</f>
        <v>#REF!</v>
      </c>
      <c r="H2" s="255" t="e">
        <f>SUMPRODUCT(#REF!,H$12:H$39)</f>
        <v>#REF!</v>
      </c>
      <c r="I2" s="255" t="e">
        <f>SUMPRODUCT(#REF!,I$12:I$39)</f>
        <v>#REF!</v>
      </c>
      <c r="J2" s="255" t="e">
        <f>SUMPRODUCT(#REF!,J$12:J$39)</f>
        <v>#REF!</v>
      </c>
      <c r="K2" s="255" t="e">
        <f>SUMPRODUCT(#REF!,K$12:K$39)</f>
        <v>#REF!</v>
      </c>
      <c r="L2" s="255" t="e">
        <f>SUMPRODUCT(#REF!,L$12:L$39)</f>
        <v>#REF!</v>
      </c>
      <c r="M2" s="255" t="e">
        <f>SUMPRODUCT(#REF!,M$12:M$39)</f>
        <v>#REF!</v>
      </c>
      <c r="N2" s="255" t="e">
        <f>SUMPRODUCT(#REF!,N$12:N$39)</f>
        <v>#REF!</v>
      </c>
      <c r="O2" s="255" t="e">
        <f>SUMPRODUCT(#REF!,O$12:O$39)</f>
        <v>#REF!</v>
      </c>
      <c r="P2" s="255" t="e">
        <f>SUMPRODUCT(#REF!,P$12:P$39)</f>
        <v>#REF!</v>
      </c>
      <c r="Q2" s="255" t="e">
        <f>SUMPRODUCT(#REF!,Q$12:Q$39)</f>
        <v>#REF!</v>
      </c>
      <c r="R2" s="255" t="e">
        <f>SUMPRODUCT(#REF!,R$12:R$39)</f>
        <v>#REF!</v>
      </c>
      <c r="S2" s="255" t="e">
        <f>SUMPRODUCT(#REF!,S$12:S$39)</f>
        <v>#REF!</v>
      </c>
      <c r="T2" s="255" t="e">
        <f>SUMPRODUCT(#REF!,T$12:T$39)</f>
        <v>#REF!</v>
      </c>
      <c r="U2" s="255" t="e">
        <f>SUMPRODUCT(#REF!,U$12:U$39)</f>
        <v>#REF!</v>
      </c>
      <c r="V2" s="255" t="e">
        <f>SUMPRODUCT(#REF!,V$12:V$39)</f>
        <v>#REF!</v>
      </c>
      <c r="W2" s="255" t="e">
        <f>SUMPRODUCT(#REF!,W$12:W$39)</f>
        <v>#REF!</v>
      </c>
      <c r="X2" s="255" t="e">
        <f>SUMPRODUCT(#REF!,X$12:X$39)</f>
        <v>#REF!</v>
      </c>
      <c r="Y2" s="255" t="e">
        <f>SUMPRODUCT(#REF!,Y$12:Y$39)</f>
        <v>#REF!</v>
      </c>
      <c r="Z2" s="255" t="e">
        <f>SUMPRODUCT(#REF!,Z$12:Z$39)</f>
        <v>#REF!</v>
      </c>
      <c r="AA2" s="255" t="e">
        <f>SUMPRODUCT(#REF!,AA$12:AA$39)</f>
        <v>#REF!</v>
      </c>
      <c r="AB2" s="255" t="e">
        <f>SUMPRODUCT(#REF!,AB$12:AB$39)</f>
        <v>#REF!</v>
      </c>
      <c r="AC2" s="255" t="e">
        <f>SUMPRODUCT(#REF!,AC$12:AC$39)</f>
        <v>#REF!</v>
      </c>
      <c r="AD2" s="255" t="e">
        <f>SUMPRODUCT(#REF!,AD$12:AD$39)</f>
        <v>#REF!</v>
      </c>
      <c r="AE2" s="255" t="e">
        <f>SUMPRODUCT(#REF!,AE$12:AE$39)</f>
        <v>#REF!</v>
      </c>
      <c r="AF2" s="255" t="e">
        <f>SUMPRODUCT(#REF!,AF$12:AF$39)</f>
        <v>#REF!</v>
      </c>
      <c r="AG2" s="255" t="e">
        <f>SUMPRODUCT(#REF!,AG$12:AG$39)</f>
        <v>#REF!</v>
      </c>
      <c r="AH2" s="255" t="e">
        <f>SUMPRODUCT(#REF!,AH$12:AH$39)</f>
        <v>#REF!</v>
      </c>
      <c r="AI2" s="255" t="e">
        <f>SUMPRODUCT(#REF!,AI$12:AI$39)</f>
        <v>#REF!</v>
      </c>
      <c r="AJ2" s="255" t="e">
        <f>SUMPRODUCT(#REF!,AJ$12:AJ$39)</f>
        <v>#REF!</v>
      </c>
      <c r="AK2" s="255" t="e">
        <f>SUMPRODUCT(#REF!,AK$12:AK$39)</f>
        <v>#REF!</v>
      </c>
      <c r="AL2" s="255" t="e">
        <f>SUMPRODUCT(#REF!,AL$12:AL$39)</f>
        <v>#REF!</v>
      </c>
      <c r="AM2" s="255" t="e">
        <f>SUMPRODUCT(#REF!,AM$12:AM$39)</f>
        <v>#REF!</v>
      </c>
      <c r="AN2" s="255" t="e">
        <f>SUMPRODUCT(#REF!,AN$12:AN$39)</f>
        <v>#REF!</v>
      </c>
      <c r="AO2" s="262" t="e">
        <f>K2+L2</f>
        <v>#REF!</v>
      </c>
      <c r="AP2" s="262" t="e">
        <f>M2+N2</f>
        <v>#REF!</v>
      </c>
      <c r="AQ2" s="262" t="e">
        <f>Q2+P2+R2</f>
        <v>#REF!</v>
      </c>
      <c r="AR2" s="262" t="e">
        <f>O2+S2+T2+U2</f>
        <v>#REF!</v>
      </c>
    </row>
    <row r="3" spans="1:47" ht="12" x14ac:dyDescent="0.15">
      <c r="A3" s="268" t="s">
        <v>351</v>
      </c>
      <c r="B3" s="255" t="e">
        <f>SUMPRODUCT(#REF!,B$12:B$39)</f>
        <v>#REF!</v>
      </c>
      <c r="C3" s="255" t="e">
        <f>SUMPRODUCT(#REF!,C$12:C$39)</f>
        <v>#REF!</v>
      </c>
      <c r="D3" s="255" t="e">
        <f>SUMPRODUCT(#REF!,D$12:D$39)</f>
        <v>#REF!</v>
      </c>
      <c r="E3" s="255" t="e">
        <f>SUMPRODUCT(#REF!,E$12:E$39)</f>
        <v>#REF!</v>
      </c>
      <c r="F3" s="255" t="e">
        <f>SUMPRODUCT(#REF!,F$12:F$39)</f>
        <v>#REF!</v>
      </c>
      <c r="G3" s="255" t="e">
        <f>SUMPRODUCT(#REF!,G$12:G$39)</f>
        <v>#REF!</v>
      </c>
      <c r="H3" s="255" t="e">
        <f>SUMPRODUCT(#REF!,H$12:H$39)</f>
        <v>#REF!</v>
      </c>
      <c r="I3" s="255" t="e">
        <f>SUMPRODUCT(#REF!,I$12:I$39)</f>
        <v>#REF!</v>
      </c>
      <c r="J3" s="255" t="e">
        <f>SUMPRODUCT(#REF!,J$12:J$39)</f>
        <v>#REF!</v>
      </c>
      <c r="K3" s="255" t="e">
        <f>SUMPRODUCT(#REF!,K$12:K$39)</f>
        <v>#REF!</v>
      </c>
      <c r="L3" s="255" t="e">
        <f>SUMPRODUCT(#REF!,L$12:L$39)</f>
        <v>#REF!</v>
      </c>
      <c r="M3" s="255" t="e">
        <f>SUMPRODUCT(#REF!,M$12:M$39)</f>
        <v>#REF!</v>
      </c>
      <c r="N3" s="255" t="e">
        <f>SUMPRODUCT(#REF!,N$12:N$39)</f>
        <v>#REF!</v>
      </c>
      <c r="O3" s="255" t="e">
        <f>SUMPRODUCT(#REF!,O$12:O$39)</f>
        <v>#REF!</v>
      </c>
      <c r="P3" s="255" t="e">
        <f>SUMPRODUCT(#REF!,P$12:P$39)</f>
        <v>#REF!</v>
      </c>
      <c r="Q3" s="255" t="e">
        <f>SUMPRODUCT(#REF!,Q$12:Q$39)</f>
        <v>#REF!</v>
      </c>
      <c r="R3" s="255" t="e">
        <f>SUMPRODUCT(#REF!,R$12:R$39)</f>
        <v>#REF!</v>
      </c>
      <c r="S3" s="255" t="e">
        <f>SUMPRODUCT(#REF!,S$12:S$39)</f>
        <v>#REF!</v>
      </c>
      <c r="T3" s="255" t="e">
        <f>SUMPRODUCT(#REF!,T$12:T$39)</f>
        <v>#REF!</v>
      </c>
      <c r="U3" s="255" t="e">
        <f>SUMPRODUCT(#REF!,U$12:U$39)</f>
        <v>#REF!</v>
      </c>
      <c r="V3" s="255" t="e">
        <f>SUMPRODUCT(#REF!,V$12:V$39)</f>
        <v>#REF!</v>
      </c>
      <c r="W3" s="255" t="e">
        <f>SUMPRODUCT(#REF!,W$12:W$39)</f>
        <v>#REF!</v>
      </c>
      <c r="X3" s="255" t="e">
        <f>SUMPRODUCT(#REF!,X$12:X$39)</f>
        <v>#REF!</v>
      </c>
      <c r="Y3" s="255" t="e">
        <f>SUMPRODUCT(#REF!,Y$12:Y$39)</f>
        <v>#REF!</v>
      </c>
      <c r="Z3" s="255" t="e">
        <f>SUMPRODUCT(#REF!,Z$12:Z$39)</f>
        <v>#REF!</v>
      </c>
      <c r="AA3" s="255" t="e">
        <f>SUMPRODUCT(#REF!,AA$12:AA$39)</f>
        <v>#REF!</v>
      </c>
      <c r="AB3" s="255" t="e">
        <f>SUMPRODUCT(#REF!,AB$12:AB$39)</f>
        <v>#REF!</v>
      </c>
      <c r="AC3" s="255" t="e">
        <f>SUMPRODUCT(#REF!,AC$12:AC$39)</f>
        <v>#REF!</v>
      </c>
      <c r="AD3" s="255" t="e">
        <f>SUMPRODUCT(#REF!,AD$12:AD$39)</f>
        <v>#REF!</v>
      </c>
      <c r="AE3" s="255" t="e">
        <f>SUMPRODUCT(#REF!,AE$12:AE$39)</f>
        <v>#REF!</v>
      </c>
      <c r="AF3" s="255" t="e">
        <f>SUMPRODUCT(#REF!,AF$12:AF$39)</f>
        <v>#REF!</v>
      </c>
      <c r="AG3" s="255" t="e">
        <f>SUMPRODUCT(#REF!,AG$12:AG$39)</f>
        <v>#REF!</v>
      </c>
      <c r="AH3" s="255" t="e">
        <f>SUMPRODUCT(#REF!,AH$12:AH$39)</f>
        <v>#REF!</v>
      </c>
      <c r="AI3" s="255" t="e">
        <f>SUMPRODUCT(#REF!,AI$12:AI$39)</f>
        <v>#REF!</v>
      </c>
      <c r="AJ3" s="255" t="e">
        <f>SUMPRODUCT(#REF!,AJ$12:AJ$39)</f>
        <v>#REF!</v>
      </c>
      <c r="AK3" s="255" t="e">
        <f>SUMPRODUCT(#REF!,AK$12:AK$39)</f>
        <v>#REF!</v>
      </c>
      <c r="AL3" s="255" t="e">
        <f>SUMPRODUCT(#REF!,AL$12:AL$39)</f>
        <v>#REF!</v>
      </c>
      <c r="AM3" s="255" t="e">
        <f>SUMPRODUCT(#REF!,AM$12:AM$39)</f>
        <v>#REF!</v>
      </c>
      <c r="AN3" s="255" t="e">
        <f>SUMPRODUCT(#REF!,AN$12:AN$39)</f>
        <v>#REF!</v>
      </c>
      <c r="AO3" s="262" t="e">
        <f t="shared" ref="AO3:AO7" si="0">K3+L3</f>
        <v>#REF!</v>
      </c>
      <c r="AP3" s="262" t="e">
        <f t="shared" ref="AP3:AP7" si="1">M3+N3</f>
        <v>#REF!</v>
      </c>
      <c r="AQ3" s="262" t="e">
        <f t="shared" ref="AQ3:AQ7" si="2">Q3+P3+R3</f>
        <v>#REF!</v>
      </c>
      <c r="AR3" s="262" t="e">
        <f t="shared" ref="AR3:AR7" si="3">O3+S3+T3+U3</f>
        <v>#REF!</v>
      </c>
    </row>
    <row r="4" spans="1:47" ht="12" x14ac:dyDescent="0.15">
      <c r="A4" s="268" t="s">
        <v>352</v>
      </c>
      <c r="B4" s="255" t="e">
        <f>SUMPRODUCT(#REF!,B$12:B$39)</f>
        <v>#REF!</v>
      </c>
      <c r="C4" s="255" t="e">
        <f>SUMPRODUCT(#REF!,C$12:C$39)</f>
        <v>#REF!</v>
      </c>
      <c r="D4" s="255" t="e">
        <f>SUMPRODUCT(#REF!,D$12:D$39)</f>
        <v>#REF!</v>
      </c>
      <c r="E4" s="255" t="e">
        <f>SUMPRODUCT(#REF!,E$12:E$39)</f>
        <v>#REF!</v>
      </c>
      <c r="F4" s="255" t="e">
        <f>SUMPRODUCT(#REF!,F$12:F$39)</f>
        <v>#REF!</v>
      </c>
      <c r="G4" s="255" t="e">
        <f>SUMPRODUCT(#REF!,G$12:G$39)</f>
        <v>#REF!</v>
      </c>
      <c r="H4" s="255" t="e">
        <f>SUMPRODUCT(#REF!,H$12:H$39)</f>
        <v>#REF!</v>
      </c>
      <c r="I4" s="255" t="e">
        <f>SUMPRODUCT(#REF!,I$12:I$39)</f>
        <v>#REF!</v>
      </c>
      <c r="J4" s="255" t="e">
        <f>SUMPRODUCT(#REF!,J$12:J$39)</f>
        <v>#REF!</v>
      </c>
      <c r="K4" s="255" t="e">
        <f>SUMPRODUCT(#REF!,K$12:K$39)</f>
        <v>#REF!</v>
      </c>
      <c r="L4" s="255" t="e">
        <f>SUMPRODUCT(#REF!,L$12:L$39)</f>
        <v>#REF!</v>
      </c>
      <c r="M4" s="255" t="e">
        <f>SUMPRODUCT(#REF!,M$12:M$39)</f>
        <v>#REF!</v>
      </c>
      <c r="N4" s="255" t="e">
        <f>SUMPRODUCT(#REF!,N$12:N$39)</f>
        <v>#REF!</v>
      </c>
      <c r="O4" s="255" t="e">
        <f>SUMPRODUCT(#REF!,O$12:O$39)</f>
        <v>#REF!</v>
      </c>
      <c r="P4" s="255" t="e">
        <f>SUMPRODUCT(#REF!,P$12:P$39)</f>
        <v>#REF!</v>
      </c>
      <c r="Q4" s="255" t="e">
        <f>SUMPRODUCT(#REF!,Q$12:Q$39)</f>
        <v>#REF!</v>
      </c>
      <c r="R4" s="255" t="e">
        <f>SUMPRODUCT(#REF!,R$12:R$39)</f>
        <v>#REF!</v>
      </c>
      <c r="S4" s="255" t="e">
        <f>SUMPRODUCT(#REF!,S$12:S$39)</f>
        <v>#REF!</v>
      </c>
      <c r="T4" s="255" t="e">
        <f>SUMPRODUCT(#REF!,T$12:T$39)</f>
        <v>#REF!</v>
      </c>
      <c r="U4" s="255" t="e">
        <f>SUMPRODUCT(#REF!,U$12:U$39)</f>
        <v>#REF!</v>
      </c>
      <c r="V4" s="255" t="e">
        <f>SUMPRODUCT(#REF!,V$12:V$39)</f>
        <v>#REF!</v>
      </c>
      <c r="W4" s="255" t="e">
        <f>SUMPRODUCT(#REF!,W$12:W$39)</f>
        <v>#REF!</v>
      </c>
      <c r="X4" s="255" t="e">
        <f>SUMPRODUCT(#REF!,X$12:X$39)</f>
        <v>#REF!</v>
      </c>
      <c r="Y4" s="255" t="e">
        <f>SUMPRODUCT(#REF!,Y$12:Y$39)</f>
        <v>#REF!</v>
      </c>
      <c r="Z4" s="255" t="e">
        <f>SUMPRODUCT(#REF!,Z$12:Z$39)</f>
        <v>#REF!</v>
      </c>
      <c r="AA4" s="255" t="e">
        <f>SUMPRODUCT(#REF!,AA$12:AA$39)</f>
        <v>#REF!</v>
      </c>
      <c r="AB4" s="255" t="e">
        <f>SUMPRODUCT(#REF!,AB$12:AB$39)</f>
        <v>#REF!</v>
      </c>
      <c r="AC4" s="255" t="e">
        <f>SUMPRODUCT(#REF!,AC$12:AC$39)</f>
        <v>#REF!</v>
      </c>
      <c r="AD4" s="255" t="e">
        <f>SUMPRODUCT(#REF!,AD$12:AD$39)</f>
        <v>#REF!</v>
      </c>
      <c r="AE4" s="255" t="e">
        <f>SUMPRODUCT(#REF!,AE$12:AE$39)</f>
        <v>#REF!</v>
      </c>
      <c r="AF4" s="255" t="e">
        <f>SUMPRODUCT(#REF!,AF$12:AF$39)</f>
        <v>#REF!</v>
      </c>
      <c r="AG4" s="255" t="e">
        <f>SUMPRODUCT(#REF!,AG$12:AG$39)</f>
        <v>#REF!</v>
      </c>
      <c r="AH4" s="255" t="e">
        <f>SUMPRODUCT(#REF!,AH$12:AH$39)</f>
        <v>#REF!</v>
      </c>
      <c r="AI4" s="255" t="e">
        <f>SUMPRODUCT(#REF!,AI$12:AI$39)</f>
        <v>#REF!</v>
      </c>
      <c r="AJ4" s="255" t="e">
        <f>SUMPRODUCT(#REF!,AJ$12:AJ$39)</f>
        <v>#REF!</v>
      </c>
      <c r="AK4" s="255" t="e">
        <f>SUMPRODUCT(#REF!,AK$12:AK$39)</f>
        <v>#REF!</v>
      </c>
      <c r="AL4" s="255" t="e">
        <f>SUMPRODUCT(#REF!,AL$12:AL$39)</f>
        <v>#REF!</v>
      </c>
      <c r="AM4" s="255" t="e">
        <f>SUMPRODUCT(#REF!,AM$12:AM$39)</f>
        <v>#REF!</v>
      </c>
      <c r="AN4" s="255" t="e">
        <f>SUMPRODUCT(#REF!,AN$12:AN$39)</f>
        <v>#REF!</v>
      </c>
      <c r="AO4" s="262" t="e">
        <f t="shared" si="0"/>
        <v>#REF!</v>
      </c>
      <c r="AP4" s="262" t="e">
        <f t="shared" si="1"/>
        <v>#REF!</v>
      </c>
      <c r="AQ4" s="262" t="e">
        <f t="shared" si="2"/>
        <v>#REF!</v>
      </c>
      <c r="AR4" s="262" t="e">
        <f t="shared" si="3"/>
        <v>#REF!</v>
      </c>
    </row>
    <row r="5" spans="1:47" ht="12" x14ac:dyDescent="0.15">
      <c r="A5" s="268" t="s">
        <v>353</v>
      </c>
      <c r="B5" s="255" t="e">
        <f>SUMPRODUCT(#REF!,B$12:B$39)</f>
        <v>#REF!</v>
      </c>
      <c r="C5" s="255" t="e">
        <f>SUMPRODUCT(#REF!,C$12:C$39)</f>
        <v>#REF!</v>
      </c>
      <c r="D5" s="255" t="e">
        <f>SUMPRODUCT(#REF!,D$12:D$39)</f>
        <v>#REF!</v>
      </c>
      <c r="E5" s="255" t="e">
        <f>SUMPRODUCT(#REF!,E$12:E$39)</f>
        <v>#REF!</v>
      </c>
      <c r="F5" s="255" t="e">
        <f>SUMPRODUCT(#REF!,F$12:F$39)</f>
        <v>#REF!</v>
      </c>
      <c r="G5" s="255" t="e">
        <f>SUMPRODUCT(#REF!,G$12:G$39)</f>
        <v>#REF!</v>
      </c>
      <c r="H5" s="255" t="e">
        <f>SUMPRODUCT(#REF!,H$12:H$39)</f>
        <v>#REF!</v>
      </c>
      <c r="I5" s="255" t="e">
        <f>SUMPRODUCT(#REF!,I$12:I$39)</f>
        <v>#REF!</v>
      </c>
      <c r="J5" s="255" t="e">
        <f>SUMPRODUCT(#REF!,J$12:J$39)</f>
        <v>#REF!</v>
      </c>
      <c r="K5" s="255" t="e">
        <f>SUMPRODUCT(#REF!,K$12:K$39)</f>
        <v>#REF!</v>
      </c>
      <c r="L5" s="255" t="e">
        <f>SUMPRODUCT(#REF!,L$12:L$39)</f>
        <v>#REF!</v>
      </c>
      <c r="M5" s="255" t="e">
        <f>SUMPRODUCT(#REF!,M$12:M$39)</f>
        <v>#REF!</v>
      </c>
      <c r="N5" s="255" t="e">
        <f>SUMPRODUCT(#REF!,N$12:N$39)</f>
        <v>#REF!</v>
      </c>
      <c r="O5" s="255" t="e">
        <f>SUMPRODUCT(#REF!,O$12:O$39)</f>
        <v>#REF!</v>
      </c>
      <c r="P5" s="255" t="e">
        <f>SUMPRODUCT(#REF!,P$12:P$39)</f>
        <v>#REF!</v>
      </c>
      <c r="Q5" s="255" t="e">
        <f>SUMPRODUCT(#REF!,Q$12:Q$39)</f>
        <v>#REF!</v>
      </c>
      <c r="R5" s="255" t="e">
        <f>SUMPRODUCT(#REF!,R$12:R$39)</f>
        <v>#REF!</v>
      </c>
      <c r="S5" s="255" t="e">
        <f>SUMPRODUCT(#REF!,S$12:S$39)</f>
        <v>#REF!</v>
      </c>
      <c r="T5" s="255" t="e">
        <f>SUMPRODUCT(#REF!,T$12:T$39)</f>
        <v>#REF!</v>
      </c>
      <c r="U5" s="255" t="e">
        <f>SUMPRODUCT(#REF!,U$12:U$39)</f>
        <v>#REF!</v>
      </c>
      <c r="V5" s="255" t="e">
        <f>SUMPRODUCT(#REF!,V$12:V$39)</f>
        <v>#REF!</v>
      </c>
      <c r="W5" s="255" t="e">
        <f>SUMPRODUCT(#REF!,W$12:W$39)</f>
        <v>#REF!</v>
      </c>
      <c r="X5" s="255" t="e">
        <f>SUMPRODUCT(#REF!,X$12:X$39)</f>
        <v>#REF!</v>
      </c>
      <c r="Y5" s="255" t="e">
        <f>SUMPRODUCT(#REF!,Y$12:Y$39)</f>
        <v>#REF!</v>
      </c>
      <c r="Z5" s="255" t="e">
        <f>SUMPRODUCT(#REF!,Z$12:Z$39)</f>
        <v>#REF!</v>
      </c>
      <c r="AA5" s="255" t="e">
        <f>SUMPRODUCT(#REF!,AA$12:AA$39)</f>
        <v>#REF!</v>
      </c>
      <c r="AB5" s="255" t="e">
        <f>SUMPRODUCT(#REF!,AB$12:AB$39)</f>
        <v>#REF!</v>
      </c>
      <c r="AC5" s="255" t="e">
        <f>SUMPRODUCT(#REF!,AC$12:AC$39)</f>
        <v>#REF!</v>
      </c>
      <c r="AD5" s="255" t="e">
        <f>SUMPRODUCT(#REF!,AD$12:AD$39)</f>
        <v>#REF!</v>
      </c>
      <c r="AE5" s="255" t="e">
        <f>SUMPRODUCT(#REF!,AE$12:AE$39)</f>
        <v>#REF!</v>
      </c>
      <c r="AF5" s="255" t="e">
        <f>SUMPRODUCT(#REF!,AF$12:AF$39)</f>
        <v>#REF!</v>
      </c>
      <c r="AG5" s="255" t="e">
        <f>SUMPRODUCT(#REF!,AG$12:AG$39)</f>
        <v>#REF!</v>
      </c>
      <c r="AH5" s="255" t="e">
        <f>SUMPRODUCT(#REF!,AH$12:AH$39)</f>
        <v>#REF!</v>
      </c>
      <c r="AI5" s="255" t="e">
        <f>SUMPRODUCT(#REF!,AI$12:AI$39)</f>
        <v>#REF!</v>
      </c>
      <c r="AJ5" s="255" t="e">
        <f>SUMPRODUCT(#REF!,AJ$12:AJ$39)</f>
        <v>#REF!</v>
      </c>
      <c r="AK5" s="255" t="e">
        <f>SUMPRODUCT(#REF!,AK$12:AK$39)</f>
        <v>#REF!</v>
      </c>
      <c r="AL5" s="255" t="e">
        <f>SUMPRODUCT(#REF!,AL$12:AL$39)</f>
        <v>#REF!</v>
      </c>
      <c r="AM5" s="255" t="e">
        <f>SUMPRODUCT(#REF!,AM$12:AM$39)</f>
        <v>#REF!</v>
      </c>
      <c r="AN5" s="255" t="e">
        <f>SUMPRODUCT(#REF!,AN$12:AN$39)</f>
        <v>#REF!</v>
      </c>
      <c r="AO5" s="262" t="e">
        <f t="shared" si="0"/>
        <v>#REF!</v>
      </c>
      <c r="AP5" s="262" t="e">
        <f t="shared" si="1"/>
        <v>#REF!</v>
      </c>
      <c r="AQ5" s="262" t="e">
        <f t="shared" si="2"/>
        <v>#REF!</v>
      </c>
      <c r="AR5" s="262" t="e">
        <f t="shared" si="3"/>
        <v>#REF!</v>
      </c>
    </row>
    <row r="6" spans="1:47" ht="12" x14ac:dyDescent="0.15">
      <c r="A6" s="268" t="s">
        <v>417</v>
      </c>
      <c r="B6" s="255" t="e">
        <f>SUMPRODUCT(#REF!,B$12:B$39)</f>
        <v>#REF!</v>
      </c>
      <c r="C6" s="255" t="e">
        <f>SUMPRODUCT(#REF!,C$12:C$39)</f>
        <v>#REF!</v>
      </c>
      <c r="D6" s="255" t="e">
        <f>SUMPRODUCT(#REF!,D$12:D$39)</f>
        <v>#REF!</v>
      </c>
      <c r="E6" s="255" t="e">
        <f>SUMPRODUCT(#REF!,E$12:E$39)</f>
        <v>#REF!</v>
      </c>
      <c r="F6" s="255" t="e">
        <f>SUMPRODUCT(#REF!,F$12:F$39)</f>
        <v>#REF!</v>
      </c>
      <c r="G6" s="255" t="e">
        <f>SUMPRODUCT(#REF!,G$12:G$39)</f>
        <v>#REF!</v>
      </c>
      <c r="H6" s="255" t="e">
        <f>SUMPRODUCT(#REF!,H$12:H$39)</f>
        <v>#REF!</v>
      </c>
      <c r="I6" s="255" t="e">
        <f>SUMPRODUCT(#REF!,I$12:I$39)</f>
        <v>#REF!</v>
      </c>
      <c r="J6" s="255" t="e">
        <f>SUMPRODUCT(#REF!,J$12:J$39)</f>
        <v>#REF!</v>
      </c>
      <c r="K6" s="255" t="e">
        <f>SUMPRODUCT(#REF!,K$12:K$39)</f>
        <v>#REF!</v>
      </c>
      <c r="L6" s="255" t="e">
        <f>SUMPRODUCT(#REF!,L$12:L$39)</f>
        <v>#REF!</v>
      </c>
      <c r="M6" s="255" t="e">
        <f>SUMPRODUCT(#REF!,M$12:M$39)</f>
        <v>#REF!</v>
      </c>
      <c r="N6" s="255" t="e">
        <f>SUMPRODUCT(#REF!,N$12:N$39)</f>
        <v>#REF!</v>
      </c>
      <c r="O6" s="255" t="e">
        <f>SUMPRODUCT(#REF!,O$12:O$39)</f>
        <v>#REF!</v>
      </c>
      <c r="P6" s="255" t="e">
        <f>SUMPRODUCT(#REF!,P$12:P$39)</f>
        <v>#REF!</v>
      </c>
      <c r="Q6" s="255" t="e">
        <f>SUMPRODUCT(#REF!,Q$12:Q$39)</f>
        <v>#REF!</v>
      </c>
      <c r="R6" s="255" t="e">
        <f>SUMPRODUCT(#REF!,R$12:R$39)</f>
        <v>#REF!</v>
      </c>
      <c r="S6" s="255" t="e">
        <f>SUMPRODUCT(#REF!,S$12:S$39)</f>
        <v>#REF!</v>
      </c>
      <c r="T6" s="255" t="e">
        <f>SUMPRODUCT(#REF!,T$12:T$39)</f>
        <v>#REF!</v>
      </c>
      <c r="U6" s="255" t="e">
        <f>SUMPRODUCT(#REF!,U$12:U$39)</f>
        <v>#REF!</v>
      </c>
      <c r="V6" s="255" t="e">
        <f>SUMPRODUCT(#REF!,V$12:V$39)</f>
        <v>#REF!</v>
      </c>
      <c r="W6" s="255" t="e">
        <f>SUMPRODUCT(#REF!,W$12:W$39)</f>
        <v>#REF!</v>
      </c>
      <c r="X6" s="255" t="e">
        <f>SUMPRODUCT(#REF!,X$12:X$39)</f>
        <v>#REF!</v>
      </c>
      <c r="Y6" s="255" t="e">
        <f>SUMPRODUCT(#REF!,Y$12:Y$39)</f>
        <v>#REF!</v>
      </c>
      <c r="Z6" s="255" t="e">
        <f>SUMPRODUCT(#REF!,Z$12:Z$39)</f>
        <v>#REF!</v>
      </c>
      <c r="AA6" s="255" t="e">
        <f>SUMPRODUCT(#REF!,AA$12:AA$39)</f>
        <v>#REF!</v>
      </c>
      <c r="AB6" s="255" t="e">
        <f>SUMPRODUCT(#REF!,AB$12:AB$39)</f>
        <v>#REF!</v>
      </c>
      <c r="AC6" s="255" t="e">
        <f>SUMPRODUCT(#REF!,AC$12:AC$39)</f>
        <v>#REF!</v>
      </c>
      <c r="AD6" s="255" t="e">
        <f>SUMPRODUCT(#REF!,AD$12:AD$39)</f>
        <v>#REF!</v>
      </c>
      <c r="AE6" s="255" t="e">
        <f>SUMPRODUCT(#REF!,AE$12:AE$39)</f>
        <v>#REF!</v>
      </c>
      <c r="AF6" s="255" t="e">
        <f>SUMPRODUCT(#REF!,AF$12:AF$39)</f>
        <v>#REF!</v>
      </c>
      <c r="AG6" s="255" t="e">
        <f>SUMPRODUCT(#REF!,AG$12:AG$39)</f>
        <v>#REF!</v>
      </c>
      <c r="AH6" s="255" t="e">
        <f>SUMPRODUCT(#REF!,AH$12:AH$39)</f>
        <v>#REF!</v>
      </c>
      <c r="AI6" s="255" t="e">
        <f>SUMPRODUCT(#REF!,AI$12:AI$39)</f>
        <v>#REF!</v>
      </c>
      <c r="AJ6" s="255" t="e">
        <f>SUMPRODUCT(#REF!,AJ$12:AJ$39)</f>
        <v>#REF!</v>
      </c>
      <c r="AK6" s="255" t="e">
        <f>SUMPRODUCT(#REF!,AK$12:AK$39)</f>
        <v>#REF!</v>
      </c>
      <c r="AL6" s="255" t="e">
        <f>SUMPRODUCT(#REF!,AL$12:AL$39)</f>
        <v>#REF!</v>
      </c>
      <c r="AM6" s="255" t="e">
        <f>SUMPRODUCT(#REF!,AM$12:AM$39)</f>
        <v>#REF!</v>
      </c>
      <c r="AN6" s="255" t="e">
        <f>SUMPRODUCT(#REF!,AN$12:AN$39)</f>
        <v>#REF!</v>
      </c>
      <c r="AO6" s="262" t="e">
        <f t="shared" si="0"/>
        <v>#REF!</v>
      </c>
      <c r="AP6" s="262" t="e">
        <f t="shared" si="1"/>
        <v>#REF!</v>
      </c>
      <c r="AQ6" s="262" t="e">
        <f t="shared" si="2"/>
        <v>#REF!</v>
      </c>
      <c r="AR6" s="262" t="e">
        <f t="shared" si="3"/>
        <v>#REF!</v>
      </c>
    </row>
    <row r="7" spans="1:47" x14ac:dyDescent="0.15">
      <c r="A7" s="269" t="s">
        <v>354</v>
      </c>
      <c r="B7" s="255">
        <v>32.37818</v>
      </c>
      <c r="C7" s="255">
        <v>16.67174</v>
      </c>
      <c r="D7" s="255">
        <v>50.950069999999997</v>
      </c>
      <c r="E7" s="255">
        <v>26.832000000000001</v>
      </c>
      <c r="F7" s="255">
        <v>44.509</v>
      </c>
      <c r="G7" s="255">
        <v>28.658999999999999</v>
      </c>
      <c r="H7" s="263">
        <v>83.590999999999994</v>
      </c>
      <c r="I7" s="263">
        <v>15.904999999999999</v>
      </c>
      <c r="J7" s="263">
        <v>0.504</v>
      </c>
      <c r="K7" s="255">
        <v>64.766000000000005</v>
      </c>
      <c r="L7" s="255">
        <v>2.9729999999999999</v>
      </c>
      <c r="M7" s="255">
        <v>3.1339999999999999</v>
      </c>
      <c r="N7" s="255">
        <v>11.077999999999999</v>
      </c>
      <c r="O7" s="255">
        <v>0.20899999999999999</v>
      </c>
      <c r="P7" s="255">
        <v>4.7709999999999999</v>
      </c>
      <c r="Q7" s="255">
        <v>4.319</v>
      </c>
      <c r="R7" s="255">
        <v>1.4770000000000001</v>
      </c>
      <c r="S7" s="255">
        <v>5.2009999999999996</v>
      </c>
      <c r="T7" s="255">
        <v>1.226</v>
      </c>
      <c r="U7" s="255">
        <v>0.84699999999999998</v>
      </c>
      <c r="V7" s="255">
        <v>3.4272499999999999</v>
      </c>
      <c r="W7" s="255">
        <v>9.0657399999999999</v>
      </c>
      <c r="X7" s="255">
        <v>10.227359999999999</v>
      </c>
      <c r="Y7" s="255">
        <v>5.2737999999999996</v>
      </c>
      <c r="Z7" s="255">
        <v>8.7965699999999991</v>
      </c>
      <c r="AA7" s="255">
        <v>10.22508</v>
      </c>
      <c r="AB7" s="255">
        <v>1.86978</v>
      </c>
      <c r="AC7" s="255">
        <v>28.238779999999998</v>
      </c>
      <c r="AD7" s="255">
        <v>3.4204699999999999</v>
      </c>
      <c r="AE7" s="255">
        <v>16.85379</v>
      </c>
      <c r="AF7" s="255">
        <v>2.6013700000000002</v>
      </c>
      <c r="AG7" s="264">
        <v>2.85</v>
      </c>
      <c r="AH7" s="264">
        <v>2.31</v>
      </c>
      <c r="AI7" s="264">
        <v>4.1000000000000005</v>
      </c>
      <c r="AJ7" s="264">
        <v>1.71</v>
      </c>
      <c r="AK7" s="264">
        <v>4.04</v>
      </c>
      <c r="AL7" s="264">
        <v>5</v>
      </c>
      <c r="AM7" s="264">
        <v>1.34</v>
      </c>
      <c r="AN7" s="262">
        <f>SUM(AG7:AM7)</f>
        <v>21.35</v>
      </c>
      <c r="AO7" s="262">
        <f t="shared" si="0"/>
        <v>67.739000000000004</v>
      </c>
      <c r="AP7" s="262">
        <f t="shared" si="1"/>
        <v>14.212</v>
      </c>
      <c r="AQ7" s="262">
        <f t="shared" si="2"/>
        <v>10.567</v>
      </c>
      <c r="AR7" s="262">
        <f t="shared" si="3"/>
        <v>7.4829999999999988</v>
      </c>
    </row>
    <row r="8" spans="1:47" x14ac:dyDescent="0.15">
      <c r="A8" s="269"/>
      <c r="B8" s="255" t="str">
        <f>B1</f>
        <v>Cyclical</v>
      </c>
      <c r="C8" s="255" t="str">
        <f t="shared" ref="C8:AR8" si="4">C1</f>
        <v>Defensive</v>
      </c>
      <c r="D8" s="255" t="str">
        <f t="shared" si="4"/>
        <v>Sensitive</v>
      </c>
      <c r="E8" s="255" t="str">
        <f t="shared" si="4"/>
        <v>Growth</v>
      </c>
      <c r="F8" s="255" t="str">
        <f t="shared" si="4"/>
        <v>Core</v>
      </c>
      <c r="G8" s="255" t="str">
        <f t="shared" si="4"/>
        <v>Value</v>
      </c>
      <c r="H8" s="255" t="str">
        <f t="shared" si="4"/>
        <v>Large</v>
      </c>
      <c r="I8" s="255" t="str">
        <f t="shared" si="4"/>
        <v>Mid</v>
      </c>
      <c r="J8" s="255" t="str">
        <f t="shared" si="4"/>
        <v>Small</v>
      </c>
      <c r="K8" s="255" t="str">
        <f t="shared" si="4"/>
        <v>US</v>
      </c>
      <c r="L8" s="255" t="str">
        <f t="shared" si="4"/>
        <v>Canada</v>
      </c>
      <c r="M8" s="255" t="str">
        <f t="shared" si="4"/>
        <v>UK</v>
      </c>
      <c r="N8" s="255" t="str">
        <f t="shared" si="4"/>
        <v>Europe Dev</v>
      </c>
      <c r="O8" s="255" t="str">
        <f t="shared" si="4"/>
        <v>Europe EM</v>
      </c>
      <c r="P8" s="255" t="str">
        <f t="shared" si="4"/>
        <v>Japan</v>
      </c>
      <c r="Q8" s="255" t="str">
        <f t="shared" si="4"/>
        <v>Asia Dev</v>
      </c>
      <c r="R8" s="255" t="str">
        <f t="shared" si="4"/>
        <v>Aust</v>
      </c>
      <c r="S8" s="255" t="str">
        <f t="shared" si="4"/>
        <v>Asia EM</v>
      </c>
      <c r="T8" s="255" t="str">
        <f t="shared" si="4"/>
        <v>Africa ME</v>
      </c>
      <c r="U8" s="255" t="str">
        <f t="shared" si="4"/>
        <v>Latam</v>
      </c>
      <c r="V8" s="255" t="str">
        <f t="shared" si="4"/>
        <v>Materials</v>
      </c>
      <c r="W8" s="255" t="str">
        <f t="shared" si="4"/>
        <v>Comm Svcs</v>
      </c>
      <c r="X8" s="255" t="str">
        <f t="shared" si="4"/>
        <v>Cons Cyclical</v>
      </c>
      <c r="Y8" s="255" t="str">
        <f t="shared" si="4"/>
        <v>Cons Defensive</v>
      </c>
      <c r="Z8" s="255" t="str">
        <f t="shared" si="4"/>
        <v>Healthcare</v>
      </c>
      <c r="AA8" s="255" t="str">
        <f t="shared" si="4"/>
        <v>Industrials</v>
      </c>
      <c r="AB8" s="255" t="str">
        <f t="shared" si="4"/>
        <v>Real Estate</v>
      </c>
      <c r="AC8" s="255" t="str">
        <f t="shared" si="4"/>
        <v>Technology</v>
      </c>
      <c r="AD8" s="255" t="str">
        <f t="shared" si="4"/>
        <v>Energy</v>
      </c>
      <c r="AE8" s="255" t="str">
        <f t="shared" si="4"/>
        <v>Financials</v>
      </c>
      <c r="AF8" s="255" t="str">
        <f t="shared" si="4"/>
        <v>Utilities</v>
      </c>
      <c r="AG8" s="255" t="str">
        <f t="shared" si="4"/>
        <v>Alphabet</v>
      </c>
      <c r="AH8" s="255" t="str">
        <f t="shared" si="4"/>
        <v>Amazon</v>
      </c>
      <c r="AI8" s="255" t="str">
        <f t="shared" si="4"/>
        <v>Apple</v>
      </c>
      <c r="AJ8" s="255" t="str">
        <f t="shared" si="4"/>
        <v>Meta</v>
      </c>
      <c r="AK8" s="255" t="str">
        <f t="shared" si="4"/>
        <v>Microsoft</v>
      </c>
      <c r="AL8" s="255" t="str">
        <f t="shared" si="4"/>
        <v>Nvidia</v>
      </c>
      <c r="AM8" s="255" t="str">
        <f t="shared" si="4"/>
        <v>Tesla</v>
      </c>
      <c r="AN8" s="255" t="str">
        <f t="shared" si="4"/>
        <v>AGGREGATE</v>
      </c>
      <c r="AO8" s="255" t="str">
        <f t="shared" si="4"/>
        <v>North America</v>
      </c>
      <c r="AP8" s="255" t="str">
        <f t="shared" si="4"/>
        <v>Dev Europe &amp; UK</v>
      </c>
      <c r="AQ8" s="255" t="str">
        <f t="shared" si="4"/>
        <v>Dev Asia &amp; Australia &amp; Japan</v>
      </c>
      <c r="AR8" s="255" t="str">
        <f t="shared" si="4"/>
        <v>GEM</v>
      </c>
    </row>
    <row r="9" spans="1:47" x14ac:dyDescent="0.15">
      <c r="A9" s="269" t="e">
        <f>#REF!</f>
        <v>#REF!</v>
      </c>
      <c r="B9" s="255" t="e">
        <f>INDEX(B12:B42,MATCH(#REF!,$A$12:$A$42,0),1)</f>
        <v>#REF!</v>
      </c>
      <c r="C9" s="255" t="e">
        <f>INDEX(C12:C42,MATCH(#REF!,$A$12:$A$42,0),1)</f>
        <v>#REF!</v>
      </c>
      <c r="D9" s="255" t="e">
        <f>INDEX(D12:D42,MATCH(#REF!,$A$12:$A$42,0),1)</f>
        <v>#REF!</v>
      </c>
      <c r="E9" s="255" t="e">
        <f>INDEX(E12:E42,MATCH(#REF!,$A$12:$A$42,0),1)</f>
        <v>#REF!</v>
      </c>
      <c r="F9" s="255" t="e">
        <f>INDEX(F12:F42,MATCH(#REF!,$A$12:$A$42,0),1)</f>
        <v>#REF!</v>
      </c>
      <c r="G9" s="255" t="e">
        <f>INDEX(G12:G42,MATCH(#REF!,$A$12:$A$42,0),1)</f>
        <v>#REF!</v>
      </c>
      <c r="H9" s="255" t="e">
        <f>INDEX(H12:H42,MATCH(#REF!,$A$12:$A$42,0),1)</f>
        <v>#REF!</v>
      </c>
      <c r="I9" s="255" t="e">
        <f>INDEX(I12:I42,MATCH(#REF!,$A$12:$A$42,0),1)</f>
        <v>#REF!</v>
      </c>
      <c r="J9" s="255" t="e">
        <f>INDEX(J12:J42,MATCH(#REF!,$A$12:$A$42,0),1)</f>
        <v>#REF!</v>
      </c>
      <c r="K9" s="255" t="e">
        <f>INDEX(K12:K42,MATCH(#REF!,$A$12:$A$42,0),1)</f>
        <v>#REF!</v>
      </c>
      <c r="L9" s="255" t="e">
        <f>INDEX(L12:L42,MATCH(#REF!,$A$12:$A$42,0),1)</f>
        <v>#REF!</v>
      </c>
      <c r="M9" s="255" t="e">
        <f>INDEX(M12:M42,MATCH(#REF!,$A$12:$A$42,0),1)</f>
        <v>#REF!</v>
      </c>
      <c r="N9" s="255" t="e">
        <f>INDEX(N12:N42,MATCH(#REF!,$A$12:$A$42,0),1)</f>
        <v>#REF!</v>
      </c>
      <c r="O9" s="255" t="e">
        <f>INDEX(O12:O42,MATCH(#REF!,$A$12:$A$42,0),1)</f>
        <v>#REF!</v>
      </c>
      <c r="P9" s="255" t="e">
        <f>INDEX(P12:P42,MATCH(#REF!,$A$12:$A$42,0),1)</f>
        <v>#REF!</v>
      </c>
      <c r="Q9" s="255" t="e">
        <f>INDEX(Q12:Q42,MATCH(#REF!,$A$12:$A$42,0),1)</f>
        <v>#REF!</v>
      </c>
      <c r="R9" s="255" t="e">
        <f>INDEX(R12:R42,MATCH(#REF!,$A$12:$A$42,0),1)</f>
        <v>#REF!</v>
      </c>
      <c r="S9" s="255" t="e">
        <f>INDEX(S12:S42,MATCH(#REF!,$A$12:$A$42,0),1)</f>
        <v>#REF!</v>
      </c>
      <c r="T9" s="255" t="e">
        <f>INDEX(T12:T42,MATCH(#REF!,$A$12:$A$42,0),1)</f>
        <v>#REF!</v>
      </c>
      <c r="U9" s="255" t="e">
        <f>INDEX(U12:U42,MATCH(#REF!,$A$12:$A$42,0),1)</f>
        <v>#REF!</v>
      </c>
      <c r="V9" s="255" t="e">
        <f>INDEX(V12:V42,MATCH(#REF!,$A$12:$A$42,0),1)</f>
        <v>#REF!</v>
      </c>
      <c r="W9" s="255" t="e">
        <f>INDEX(W12:W42,MATCH(#REF!,$A$12:$A$42,0),1)</f>
        <v>#REF!</v>
      </c>
      <c r="X9" s="255" t="e">
        <f>INDEX(X12:X42,MATCH(#REF!,$A$12:$A$42,0),1)</f>
        <v>#REF!</v>
      </c>
      <c r="Y9" s="255" t="e">
        <f>INDEX(Y12:Y42,MATCH(#REF!,$A$12:$A$42,0),1)</f>
        <v>#REF!</v>
      </c>
      <c r="Z9" s="255" t="e">
        <f>INDEX(Z12:Z42,MATCH(#REF!,$A$12:$A$42,0),1)</f>
        <v>#REF!</v>
      </c>
      <c r="AA9" s="255" t="e">
        <f>INDEX(AA12:AA42,MATCH(#REF!,$A$12:$A$42,0),1)</f>
        <v>#REF!</v>
      </c>
      <c r="AB9" s="255" t="e">
        <f>INDEX(AB12:AB42,MATCH(#REF!,$A$12:$A$42,0),1)</f>
        <v>#REF!</v>
      </c>
      <c r="AC9" s="255" t="e">
        <f>INDEX(AC12:AC42,MATCH(#REF!,$A$12:$A$42,0),1)</f>
        <v>#REF!</v>
      </c>
      <c r="AD9" s="255" t="e">
        <f>INDEX(AD12:AD42,MATCH(#REF!,$A$12:$A$42,0),1)</f>
        <v>#REF!</v>
      </c>
      <c r="AE9" s="255" t="e">
        <f>INDEX(AE12:AE42,MATCH(#REF!,$A$12:$A$42,0),1)</f>
        <v>#REF!</v>
      </c>
      <c r="AF9" s="255" t="e">
        <f>INDEX(AF12:AF42,MATCH(#REF!,$A$12:$A$42,0),1)</f>
        <v>#REF!</v>
      </c>
      <c r="AG9" s="255" t="e">
        <f>INDEX(AG12:AG42,MATCH(#REF!,$A$12:$A$42,0),1)</f>
        <v>#REF!</v>
      </c>
      <c r="AH9" s="255" t="e">
        <f>INDEX(AH12:AH42,MATCH(#REF!,$A$12:$A$42,0),1)</f>
        <v>#REF!</v>
      </c>
      <c r="AI9" s="255" t="e">
        <f>INDEX(AI12:AI42,MATCH(#REF!,$A$12:$A$42,0),1)</f>
        <v>#REF!</v>
      </c>
      <c r="AJ9" s="255" t="e">
        <f>INDEX(AJ12:AJ42,MATCH(#REF!,$A$12:$A$42,0),1)</f>
        <v>#REF!</v>
      </c>
      <c r="AK9" s="255" t="e">
        <f>INDEX(AK12:AK42,MATCH(#REF!,$A$12:$A$42,0),1)</f>
        <v>#REF!</v>
      </c>
      <c r="AL9" s="255" t="e">
        <f>INDEX(AL12:AL42,MATCH(#REF!,$A$12:$A$42,0),1)</f>
        <v>#REF!</v>
      </c>
      <c r="AM9" s="255" t="e">
        <f>INDEX(AM12:AM42,MATCH(#REF!,$A$12:$A$42,0),1)</f>
        <v>#REF!</v>
      </c>
      <c r="AN9" s="255" t="e">
        <f>INDEX(AN12:AN42,MATCH(#REF!,$A$12:$A$42,0),1)</f>
        <v>#REF!</v>
      </c>
      <c r="AO9" s="255" t="e">
        <f>INDEX(AO12:AO42,MATCH(#REF!,$A$12:$A$42,0),1)</f>
        <v>#REF!</v>
      </c>
      <c r="AP9" s="255" t="e">
        <f>INDEX(AP12:AP42,MATCH(#REF!,$A$12:$A$42,0),1)</f>
        <v>#REF!</v>
      </c>
      <c r="AQ9" s="255" t="e">
        <f>INDEX(AQ12:AQ42,MATCH(#REF!,$A$12:$A$42,0),1)</f>
        <v>#REF!</v>
      </c>
      <c r="AR9" s="255" t="e">
        <f>INDEX(AR12:AR42,MATCH(#REF!,Characteristics!$A$40:$A$42,0),1)</f>
        <v>#REF!</v>
      </c>
    </row>
    <row r="10" spans="1:47" x14ac:dyDescent="0.15">
      <c r="A10" s="269" t="s">
        <v>354</v>
      </c>
      <c r="B10" s="255">
        <f>B7</f>
        <v>32.37818</v>
      </c>
      <c r="C10" s="255">
        <f t="shared" ref="C10:AR10" si="5">C7</f>
        <v>16.67174</v>
      </c>
      <c r="D10" s="255">
        <f t="shared" si="5"/>
        <v>50.950069999999997</v>
      </c>
      <c r="E10" s="255">
        <f t="shared" si="5"/>
        <v>26.832000000000001</v>
      </c>
      <c r="F10" s="255">
        <f t="shared" si="5"/>
        <v>44.509</v>
      </c>
      <c r="G10" s="255">
        <f t="shared" si="5"/>
        <v>28.658999999999999</v>
      </c>
      <c r="H10" s="255">
        <f t="shared" si="5"/>
        <v>83.590999999999994</v>
      </c>
      <c r="I10" s="255">
        <f t="shared" si="5"/>
        <v>15.904999999999999</v>
      </c>
      <c r="J10" s="255">
        <f t="shared" si="5"/>
        <v>0.504</v>
      </c>
      <c r="K10" s="255">
        <f t="shared" si="5"/>
        <v>64.766000000000005</v>
      </c>
      <c r="L10" s="255">
        <f t="shared" si="5"/>
        <v>2.9729999999999999</v>
      </c>
      <c r="M10" s="255">
        <f t="shared" si="5"/>
        <v>3.1339999999999999</v>
      </c>
      <c r="N10" s="255">
        <f t="shared" si="5"/>
        <v>11.077999999999999</v>
      </c>
      <c r="O10" s="255">
        <f t="shared" si="5"/>
        <v>0.20899999999999999</v>
      </c>
      <c r="P10" s="255">
        <f t="shared" si="5"/>
        <v>4.7709999999999999</v>
      </c>
      <c r="Q10" s="255">
        <f t="shared" si="5"/>
        <v>4.319</v>
      </c>
      <c r="R10" s="255">
        <f t="shared" si="5"/>
        <v>1.4770000000000001</v>
      </c>
      <c r="S10" s="255">
        <f t="shared" si="5"/>
        <v>5.2009999999999996</v>
      </c>
      <c r="T10" s="255">
        <f t="shared" si="5"/>
        <v>1.226</v>
      </c>
      <c r="U10" s="255">
        <f t="shared" si="5"/>
        <v>0.84699999999999998</v>
      </c>
      <c r="V10" s="255">
        <f t="shared" si="5"/>
        <v>3.4272499999999999</v>
      </c>
      <c r="W10" s="255">
        <f t="shared" si="5"/>
        <v>9.0657399999999999</v>
      </c>
      <c r="X10" s="255">
        <f t="shared" si="5"/>
        <v>10.227359999999999</v>
      </c>
      <c r="Y10" s="255">
        <f t="shared" si="5"/>
        <v>5.2737999999999996</v>
      </c>
      <c r="Z10" s="255">
        <f t="shared" si="5"/>
        <v>8.7965699999999991</v>
      </c>
      <c r="AA10" s="255">
        <f t="shared" si="5"/>
        <v>10.22508</v>
      </c>
      <c r="AB10" s="255">
        <f t="shared" si="5"/>
        <v>1.86978</v>
      </c>
      <c r="AC10" s="255">
        <f t="shared" si="5"/>
        <v>28.238779999999998</v>
      </c>
      <c r="AD10" s="255">
        <f t="shared" si="5"/>
        <v>3.4204699999999999</v>
      </c>
      <c r="AE10" s="255">
        <f t="shared" si="5"/>
        <v>16.85379</v>
      </c>
      <c r="AF10" s="255">
        <f t="shared" si="5"/>
        <v>2.6013700000000002</v>
      </c>
      <c r="AG10" s="255">
        <f t="shared" si="5"/>
        <v>2.85</v>
      </c>
      <c r="AH10" s="255">
        <f t="shared" si="5"/>
        <v>2.31</v>
      </c>
      <c r="AI10" s="255">
        <f t="shared" si="5"/>
        <v>4.1000000000000005</v>
      </c>
      <c r="AJ10" s="255">
        <f t="shared" si="5"/>
        <v>1.71</v>
      </c>
      <c r="AK10" s="255">
        <f t="shared" si="5"/>
        <v>4.04</v>
      </c>
      <c r="AL10" s="255">
        <f t="shared" si="5"/>
        <v>5</v>
      </c>
      <c r="AM10" s="255">
        <f t="shared" si="5"/>
        <v>1.34</v>
      </c>
      <c r="AN10" s="255">
        <f t="shared" si="5"/>
        <v>21.35</v>
      </c>
      <c r="AO10" s="255">
        <f t="shared" si="5"/>
        <v>67.739000000000004</v>
      </c>
      <c r="AP10" s="255">
        <f t="shared" si="5"/>
        <v>14.212</v>
      </c>
      <c r="AQ10" s="255">
        <f t="shared" si="5"/>
        <v>10.567</v>
      </c>
      <c r="AR10" s="255">
        <f t="shared" si="5"/>
        <v>7.4829999999999988</v>
      </c>
    </row>
    <row r="11" spans="1:47" s="266" customFormat="1" ht="40.5" customHeight="1" x14ac:dyDescent="0.2">
      <c r="A11" s="270" t="e">
        <f>#REF!</f>
        <v>#REF!</v>
      </c>
      <c r="B11" s="256" t="s">
        <v>355</v>
      </c>
      <c r="C11" s="256" t="s">
        <v>356</v>
      </c>
      <c r="D11" s="256" t="s">
        <v>357</v>
      </c>
      <c r="E11" s="256" t="s">
        <v>358</v>
      </c>
      <c r="F11" s="256" t="s">
        <v>359</v>
      </c>
      <c r="G11" s="256" t="s">
        <v>360</v>
      </c>
      <c r="H11" s="256" t="s">
        <v>361</v>
      </c>
      <c r="I11" s="256" t="s">
        <v>362</v>
      </c>
      <c r="J11" s="256" t="s">
        <v>363</v>
      </c>
      <c r="K11" s="256" t="s">
        <v>364</v>
      </c>
      <c r="L11" s="256" t="s">
        <v>365</v>
      </c>
      <c r="M11" s="256" t="s">
        <v>366</v>
      </c>
      <c r="N11" s="256" t="s">
        <v>367</v>
      </c>
      <c r="O11" s="256" t="s">
        <v>368</v>
      </c>
      <c r="P11" s="256" t="s">
        <v>369</v>
      </c>
      <c r="Q11" s="256" t="s">
        <v>370</v>
      </c>
      <c r="R11" s="256" t="s">
        <v>371</v>
      </c>
      <c r="S11" s="256" t="s">
        <v>372</v>
      </c>
      <c r="T11" s="256" t="s">
        <v>373</v>
      </c>
      <c r="U11" s="256" t="s">
        <v>374</v>
      </c>
      <c r="V11" s="256" t="s">
        <v>375</v>
      </c>
      <c r="W11" s="256" t="s">
        <v>376</v>
      </c>
      <c r="X11" s="256" t="s">
        <v>377</v>
      </c>
      <c r="Y11" s="256" t="s">
        <v>378</v>
      </c>
      <c r="Z11" s="256" t="s">
        <v>379</v>
      </c>
      <c r="AA11" s="256" t="s">
        <v>380</v>
      </c>
      <c r="AB11" s="256" t="s">
        <v>0</v>
      </c>
      <c r="AC11" s="256" t="s">
        <v>381</v>
      </c>
      <c r="AD11" s="256" t="s">
        <v>382</v>
      </c>
      <c r="AE11" s="256" t="s">
        <v>383</v>
      </c>
      <c r="AF11" s="256" t="s">
        <v>384</v>
      </c>
      <c r="AG11" s="257" t="s">
        <v>385</v>
      </c>
      <c r="AH11" s="257" t="s">
        <v>386</v>
      </c>
      <c r="AI11" s="257" t="s">
        <v>387</v>
      </c>
      <c r="AJ11" s="257" t="s">
        <v>388</v>
      </c>
      <c r="AK11" s="257" t="s">
        <v>389</v>
      </c>
      <c r="AL11" s="257" t="s">
        <v>390</v>
      </c>
      <c r="AM11" s="257" t="s">
        <v>391</v>
      </c>
      <c r="AN11" s="265"/>
      <c r="AO11" s="265"/>
      <c r="AP11" s="265"/>
      <c r="AQ11" s="265"/>
      <c r="AR11" s="265"/>
    </row>
    <row r="12" spans="1:47" ht="12" x14ac:dyDescent="0.15">
      <c r="A12" s="270" t="e">
        <f>#REF!</f>
        <v>#REF!</v>
      </c>
      <c r="B12" s="255">
        <v>28.22494</v>
      </c>
      <c r="C12" s="255">
        <v>16.678319999999999</v>
      </c>
      <c r="D12" s="255">
        <v>55.096730000000001</v>
      </c>
      <c r="E12" s="255">
        <v>25.332999999999998</v>
      </c>
      <c r="F12" s="255">
        <v>46.241</v>
      </c>
      <c r="G12" s="255">
        <v>28.427</v>
      </c>
      <c r="H12" s="255">
        <v>71.742000000000004</v>
      </c>
      <c r="I12" s="255">
        <v>19.526</v>
      </c>
      <c r="J12" s="255">
        <v>8.7330000000000005</v>
      </c>
      <c r="K12" s="255">
        <v>99.412000000000006</v>
      </c>
      <c r="L12" s="255">
        <v>3.3000000000000002E-2</v>
      </c>
      <c r="M12" s="255">
        <v>7.4999999999999997E-2</v>
      </c>
      <c r="N12" s="255">
        <v>0.36399999999999999</v>
      </c>
      <c r="O12" s="255">
        <v>0</v>
      </c>
      <c r="P12" s="255">
        <v>0</v>
      </c>
      <c r="Q12" s="255">
        <v>3.7999999999999999E-2</v>
      </c>
      <c r="R12" s="255">
        <v>0</v>
      </c>
      <c r="S12" s="255">
        <v>0.01</v>
      </c>
      <c r="T12" s="255">
        <v>4.0000000000000001E-3</v>
      </c>
      <c r="U12" s="255">
        <v>6.5000000000000002E-2</v>
      </c>
      <c r="V12" s="255">
        <v>1.93767</v>
      </c>
      <c r="W12" s="255">
        <v>9.5906800000000008</v>
      </c>
      <c r="X12" s="255">
        <v>10.57516</v>
      </c>
      <c r="Y12" s="255">
        <v>4.7264999999999997</v>
      </c>
      <c r="Z12" s="255">
        <v>9.5297999999999998</v>
      </c>
      <c r="AA12" s="255">
        <v>8.7572100000000006</v>
      </c>
      <c r="AB12" s="255">
        <v>2.3725299999999998</v>
      </c>
      <c r="AC12" s="255">
        <v>33.832540000000002</v>
      </c>
      <c r="AD12" s="255">
        <v>2.9163000000000001</v>
      </c>
      <c r="AE12" s="255">
        <v>13.33958</v>
      </c>
      <c r="AF12" s="255">
        <v>2.4220199999999998</v>
      </c>
      <c r="AG12" s="264">
        <v>3.9</v>
      </c>
      <c r="AH12" s="264">
        <v>3.3000000000000003</v>
      </c>
      <c r="AI12" s="264">
        <v>5.71</v>
      </c>
      <c r="AJ12" s="264">
        <v>2.4</v>
      </c>
      <c r="AK12" s="264">
        <v>5.96</v>
      </c>
      <c r="AL12" s="264">
        <v>7.02</v>
      </c>
      <c r="AM12" s="264">
        <v>1.82</v>
      </c>
      <c r="AN12" s="262">
        <f>SUM(AG12:AM12)</f>
        <v>30.11</v>
      </c>
      <c r="AO12" s="262">
        <f t="shared" ref="AO12" si="6">K12+L12</f>
        <v>99.445000000000007</v>
      </c>
      <c r="AP12" s="262">
        <f t="shared" ref="AP12" si="7">M12+N12</f>
        <v>0.439</v>
      </c>
      <c r="AQ12" s="262">
        <f t="shared" ref="AQ12" si="8">Q12+P12+R12</f>
        <v>3.7999999999999999E-2</v>
      </c>
      <c r="AR12" s="262">
        <f t="shared" ref="AR12" si="9">O12+S12+T12+U12</f>
        <v>7.9000000000000001E-2</v>
      </c>
    </row>
    <row r="13" spans="1:47" ht="12" x14ac:dyDescent="0.15">
      <c r="A13" s="270" t="e">
        <f>#REF!</f>
        <v>#REF!</v>
      </c>
      <c r="B13" s="255">
        <v>27.006699999999999</v>
      </c>
      <c r="C13" s="255">
        <v>16.436029999999999</v>
      </c>
      <c r="D13" s="255">
        <v>56.547310000000003</v>
      </c>
      <c r="E13" s="255">
        <v>23.856000000000002</v>
      </c>
      <c r="F13" s="255">
        <v>49.13</v>
      </c>
      <c r="G13" s="255">
        <v>27.001999999999999</v>
      </c>
      <c r="H13" s="255">
        <v>75.677000000000007</v>
      </c>
      <c r="I13" s="255">
        <v>23.65</v>
      </c>
      <c r="J13" s="255">
        <v>0.66100000000000003</v>
      </c>
      <c r="K13" s="255">
        <v>99.549000000000007</v>
      </c>
      <c r="L13" s="255">
        <v>0</v>
      </c>
      <c r="M13" s="255">
        <v>0</v>
      </c>
      <c r="N13" s="255">
        <v>0.20799999999999999</v>
      </c>
      <c r="O13" s="255">
        <v>0</v>
      </c>
      <c r="P13" s="255">
        <v>0</v>
      </c>
      <c r="Q13" s="255">
        <v>0</v>
      </c>
      <c r="R13" s="255">
        <v>0</v>
      </c>
      <c r="S13" s="255">
        <v>0</v>
      </c>
      <c r="T13" s="255">
        <v>0</v>
      </c>
      <c r="U13" s="255">
        <v>0.23300000000000001</v>
      </c>
      <c r="V13" s="255">
        <v>1.77135</v>
      </c>
      <c r="W13" s="255">
        <v>9.3085199999999997</v>
      </c>
      <c r="X13" s="255">
        <v>10.12781</v>
      </c>
      <c r="Y13" s="255">
        <v>4.7485900000000001</v>
      </c>
      <c r="Z13" s="255">
        <v>9.4772400000000001</v>
      </c>
      <c r="AA13" s="255">
        <v>7.6356299999999999</v>
      </c>
      <c r="AB13" s="255">
        <v>2.0846100000000001</v>
      </c>
      <c r="AC13" s="255">
        <v>36.594029999999997</v>
      </c>
      <c r="AD13" s="255">
        <v>3.0091299999999999</v>
      </c>
      <c r="AE13" s="255">
        <v>13.022930000000001</v>
      </c>
      <c r="AF13" s="255">
        <v>2.2101999999999999</v>
      </c>
      <c r="AG13" s="264">
        <v>4.3499999999999996</v>
      </c>
      <c r="AH13" s="264">
        <v>3.45</v>
      </c>
      <c r="AI13" s="264">
        <v>6.22</v>
      </c>
      <c r="AJ13" s="264">
        <v>2.4699999999999998</v>
      </c>
      <c r="AK13" s="264">
        <v>6.18</v>
      </c>
      <c r="AL13" s="264">
        <v>7.6</v>
      </c>
      <c r="AM13" s="264">
        <v>2.13</v>
      </c>
      <c r="AN13" s="262">
        <f>SUM(AG13:AM13)</f>
        <v>32.4</v>
      </c>
      <c r="AO13" s="262">
        <f t="shared" ref="AO13:AO38" si="10">K13+L13</f>
        <v>99.549000000000007</v>
      </c>
      <c r="AP13" s="262">
        <f t="shared" ref="AP13:AP38" si="11">M13+N13</f>
        <v>0.20799999999999999</v>
      </c>
      <c r="AQ13" s="262">
        <f t="shared" ref="AQ13:AQ38" si="12">Q13+P13+R13</f>
        <v>0</v>
      </c>
      <c r="AR13" s="262">
        <f t="shared" ref="AR13:AR38" si="13">O13+S13+T13+U13</f>
        <v>0.23300000000000001</v>
      </c>
    </row>
    <row r="14" spans="1:47" ht="12" x14ac:dyDescent="0.15">
      <c r="A14" s="270" t="e">
        <f>#REF!</f>
        <v>#REF!</v>
      </c>
      <c r="B14" s="255">
        <v>32.050420000000003</v>
      </c>
      <c r="C14" s="255">
        <v>13.4017</v>
      </c>
      <c r="D14" s="255">
        <v>54.547890000000002</v>
      </c>
      <c r="E14" s="255">
        <v>30.01</v>
      </c>
      <c r="F14" s="255">
        <v>54.804000000000002</v>
      </c>
      <c r="G14" s="255">
        <v>15.186</v>
      </c>
      <c r="H14" s="255">
        <v>74.956000000000003</v>
      </c>
      <c r="I14" s="255">
        <v>23.59</v>
      </c>
      <c r="J14" s="255">
        <v>1.454</v>
      </c>
      <c r="K14" s="255">
        <v>99.082999999999998</v>
      </c>
      <c r="L14" s="255">
        <v>1E-3</v>
      </c>
      <c r="M14" s="255">
        <v>0</v>
      </c>
      <c r="N14" s="255">
        <v>0.64100000000000001</v>
      </c>
      <c r="O14" s="255">
        <v>0</v>
      </c>
      <c r="P14" s="255">
        <v>0</v>
      </c>
      <c r="Q14" s="255">
        <v>0</v>
      </c>
      <c r="R14" s="255">
        <v>0</v>
      </c>
      <c r="S14" s="255">
        <v>0</v>
      </c>
      <c r="T14" s="255">
        <v>0</v>
      </c>
      <c r="U14" s="255">
        <v>0.27500000000000002</v>
      </c>
      <c r="V14" s="255">
        <v>1.7376400000000001</v>
      </c>
      <c r="W14" s="255">
        <v>8.6234000000000002</v>
      </c>
      <c r="X14" s="255">
        <v>10.229480000000001</v>
      </c>
      <c r="Y14" s="255">
        <v>0.58857999999999999</v>
      </c>
      <c r="Z14" s="255">
        <v>11.09981</v>
      </c>
      <c r="AA14" s="255">
        <v>4.7973499999999998</v>
      </c>
      <c r="AB14" s="255">
        <v>6.8311000000000002</v>
      </c>
      <c r="AC14" s="255">
        <v>41.126710000000003</v>
      </c>
      <c r="AD14" s="255">
        <v>4.2999999999999999E-4</v>
      </c>
      <c r="AE14" s="255">
        <v>13.2522</v>
      </c>
      <c r="AF14" s="255">
        <v>1.7133100000000001</v>
      </c>
      <c r="AG14" s="264">
        <v>4.4400000000000004</v>
      </c>
      <c r="AH14" s="264">
        <v>3.56</v>
      </c>
      <c r="AI14" s="264">
        <v>6.8199999999999994</v>
      </c>
      <c r="AJ14" s="264">
        <v>2.8000000000000003</v>
      </c>
      <c r="AK14" s="264">
        <v>7.8100000000000005</v>
      </c>
      <c r="AL14" s="264">
        <v>10.050000000000001</v>
      </c>
      <c r="AM14" s="264">
        <v>4.41</v>
      </c>
      <c r="AN14" s="262">
        <f>SUM(AG14:AM14)</f>
        <v>39.89</v>
      </c>
      <c r="AO14" s="262">
        <f t="shared" si="10"/>
        <v>99.084000000000003</v>
      </c>
      <c r="AP14" s="262">
        <f t="shared" si="11"/>
        <v>0.64100000000000001</v>
      </c>
      <c r="AQ14" s="262">
        <f t="shared" si="12"/>
        <v>0</v>
      </c>
      <c r="AR14" s="262">
        <f t="shared" si="13"/>
        <v>0.27500000000000002</v>
      </c>
    </row>
    <row r="15" spans="1:47" ht="12" x14ac:dyDescent="0.15">
      <c r="A15" s="270" t="e">
        <f>#REF!</f>
        <v>#REF!</v>
      </c>
      <c r="B15" s="255">
        <v>39.946586000000003</v>
      </c>
      <c r="C15" s="255">
        <v>15.197976000000001</v>
      </c>
      <c r="D15" s="255">
        <v>44.855437999999999</v>
      </c>
      <c r="E15" s="255">
        <v>28.689910000000001</v>
      </c>
      <c r="F15" s="255">
        <v>48.035414000000003</v>
      </c>
      <c r="G15" s="255">
        <v>23.274677000000001</v>
      </c>
      <c r="H15" s="255">
        <v>71.907002000000006</v>
      </c>
      <c r="I15" s="255">
        <v>23.659845000000001</v>
      </c>
      <c r="J15" s="255">
        <v>4.433154</v>
      </c>
      <c r="K15" s="255">
        <v>72.801579000000004</v>
      </c>
      <c r="L15" s="255">
        <v>2.591961</v>
      </c>
      <c r="M15" s="255">
        <v>4.0035829999999999</v>
      </c>
      <c r="N15" s="255">
        <v>10.976587</v>
      </c>
      <c r="O15" s="255">
        <v>1.3586000000000001E-2</v>
      </c>
      <c r="P15" s="255">
        <v>2.865875</v>
      </c>
      <c r="Q15" s="255">
        <v>3.1215039999999998</v>
      </c>
      <c r="R15" s="255">
        <v>8.8775000000000007E-2</v>
      </c>
      <c r="S15" s="255">
        <v>3.2163560000000002</v>
      </c>
      <c r="T15" s="255">
        <v>0.28375699999999998</v>
      </c>
      <c r="U15" s="255">
        <v>3.6436000000000003E-2</v>
      </c>
      <c r="V15" s="255">
        <v>1.5935349999999999</v>
      </c>
      <c r="W15" s="255">
        <v>10.178159000000001</v>
      </c>
      <c r="X15" s="255">
        <v>14.107074000000001</v>
      </c>
      <c r="Y15" s="255">
        <v>4.0719500000000002</v>
      </c>
      <c r="Z15" s="255">
        <v>8.7106049999999993</v>
      </c>
      <c r="AA15" s="255">
        <v>14.509904000000001</v>
      </c>
      <c r="AB15" s="255">
        <v>1.5821350000000001</v>
      </c>
      <c r="AC15" s="255">
        <v>19.872184000000001</v>
      </c>
      <c r="AD15" s="255">
        <v>0.29519099999999998</v>
      </c>
      <c r="AE15" s="255">
        <v>22.663841999999999</v>
      </c>
      <c r="AF15" s="255">
        <v>2.4154209999999998</v>
      </c>
      <c r="AG15" s="264">
        <v>1.5699999999999998</v>
      </c>
      <c r="AH15" s="264">
        <v>2.2999999999999998</v>
      </c>
      <c r="AI15" s="264">
        <v>0.3</v>
      </c>
      <c r="AJ15" s="264">
        <v>2.44</v>
      </c>
      <c r="AK15" s="264">
        <v>5.7799999999999994</v>
      </c>
      <c r="AL15" s="264">
        <v>2.0099999999999998</v>
      </c>
      <c r="AM15" s="264">
        <v>0.41000000000000003</v>
      </c>
      <c r="AN15" s="262">
        <f t="shared" ref="AN15:AN37" si="14">SUM(AG15:AM15)</f>
        <v>14.809999999999999</v>
      </c>
      <c r="AO15" s="262">
        <f t="shared" si="10"/>
        <v>75.393540000000002</v>
      </c>
      <c r="AP15" s="262">
        <f t="shared" si="11"/>
        <v>14.980170000000001</v>
      </c>
      <c r="AQ15" s="262">
        <f t="shared" si="12"/>
        <v>6.0761539999999998</v>
      </c>
      <c r="AR15" s="262">
        <f t="shared" si="13"/>
        <v>3.5501350000000005</v>
      </c>
    </row>
    <row r="16" spans="1:47" ht="12" x14ac:dyDescent="0.15">
      <c r="A16" s="270" t="e">
        <f>#REF!</f>
        <v>#REF!</v>
      </c>
      <c r="B16" s="255">
        <v>22.520472000000002</v>
      </c>
      <c r="C16" s="255">
        <v>22.531690000000001</v>
      </c>
      <c r="D16" s="255">
        <v>54.947837</v>
      </c>
      <c r="E16" s="255">
        <v>29.905984</v>
      </c>
      <c r="F16" s="255">
        <v>55.119593000000002</v>
      </c>
      <c r="G16" s="255">
        <v>14.974422000000001</v>
      </c>
      <c r="H16" s="255">
        <v>76.173091999999997</v>
      </c>
      <c r="I16" s="255">
        <v>23.464735000000001</v>
      </c>
      <c r="J16" s="255">
        <v>0.36217199999999999</v>
      </c>
      <c r="K16" s="255">
        <v>59.889335000000003</v>
      </c>
      <c r="L16" s="255">
        <v>0</v>
      </c>
      <c r="M16" s="255">
        <v>0</v>
      </c>
      <c r="N16" s="255">
        <v>30.610301</v>
      </c>
      <c r="O16" s="255">
        <v>0</v>
      </c>
      <c r="P16" s="255">
        <v>0</v>
      </c>
      <c r="Q16" s="255">
        <v>3.0175519999999998</v>
      </c>
      <c r="R16" s="255">
        <v>0</v>
      </c>
      <c r="S16" s="255">
        <v>1.74116</v>
      </c>
      <c r="T16" s="255">
        <v>0</v>
      </c>
      <c r="U16" s="255">
        <v>4.7416520000000002</v>
      </c>
      <c r="V16" s="255">
        <v>4.3633009999999999</v>
      </c>
      <c r="W16" s="255">
        <v>3.9065120000000002</v>
      </c>
      <c r="X16" s="255">
        <v>9.2979409999999998</v>
      </c>
      <c r="Y16" s="255">
        <v>1.664873</v>
      </c>
      <c r="Z16" s="255">
        <v>20.866817000000001</v>
      </c>
      <c r="AA16" s="255">
        <v>18.69905</v>
      </c>
      <c r="AB16" s="255">
        <v>1.1084229999999999</v>
      </c>
      <c r="AC16" s="255">
        <v>32.342275000000001</v>
      </c>
      <c r="AD16" s="255">
        <v>0</v>
      </c>
      <c r="AE16" s="255">
        <v>7.750807</v>
      </c>
      <c r="AF16" s="255">
        <v>0</v>
      </c>
      <c r="AG16" s="264">
        <v>3.7800000000000002</v>
      </c>
      <c r="AH16" s="264">
        <v>1.59</v>
      </c>
      <c r="AI16" s="264">
        <v>0</v>
      </c>
      <c r="AJ16" s="264">
        <v>0</v>
      </c>
      <c r="AK16" s="264">
        <v>10.38</v>
      </c>
      <c r="AL16" s="264">
        <v>0</v>
      </c>
      <c r="AM16" s="264">
        <v>0</v>
      </c>
      <c r="AN16" s="262">
        <f t="shared" si="14"/>
        <v>15.75</v>
      </c>
      <c r="AO16" s="262">
        <f t="shared" si="10"/>
        <v>59.889335000000003</v>
      </c>
      <c r="AP16" s="262">
        <f t="shared" si="11"/>
        <v>30.610301</v>
      </c>
      <c r="AQ16" s="262">
        <f t="shared" si="12"/>
        <v>3.0175519999999998</v>
      </c>
      <c r="AR16" s="262">
        <f t="shared" si="13"/>
        <v>6.482812</v>
      </c>
    </row>
    <row r="17" spans="1:44" ht="12" x14ac:dyDescent="0.15">
      <c r="A17" s="270" t="e">
        <f>#REF!</f>
        <v>#REF!</v>
      </c>
      <c r="B17" s="255">
        <v>38.027090000000001</v>
      </c>
      <c r="C17" s="255">
        <v>24.897069999999999</v>
      </c>
      <c r="D17" s="255">
        <v>37.075839999999999</v>
      </c>
      <c r="E17" s="255">
        <v>26.58</v>
      </c>
      <c r="F17" s="255">
        <v>38.005000000000003</v>
      </c>
      <c r="G17" s="255">
        <v>35.414999999999999</v>
      </c>
      <c r="H17" s="255">
        <v>88.995999999999995</v>
      </c>
      <c r="I17" s="255">
        <v>11.004</v>
      </c>
      <c r="J17" s="255">
        <v>0</v>
      </c>
      <c r="K17" s="255">
        <v>50.987000000000002</v>
      </c>
      <c r="L17" s="255">
        <v>0</v>
      </c>
      <c r="M17" s="255">
        <v>6.5129999999999999</v>
      </c>
      <c r="N17" s="255">
        <v>26.491</v>
      </c>
      <c r="O17" s="255">
        <v>0</v>
      </c>
      <c r="P17" s="255">
        <v>6.26</v>
      </c>
      <c r="Q17" s="255">
        <v>9.7479999999999993</v>
      </c>
      <c r="R17" s="255">
        <v>0</v>
      </c>
      <c r="S17" s="255">
        <v>0</v>
      </c>
      <c r="T17" s="255">
        <v>0</v>
      </c>
      <c r="U17" s="255">
        <v>0</v>
      </c>
      <c r="V17" s="255">
        <v>2.3682400000000001</v>
      </c>
      <c r="W17" s="255">
        <v>2.6915300000000002</v>
      </c>
      <c r="X17" s="255">
        <v>12.226570000000001</v>
      </c>
      <c r="Y17" s="255">
        <v>8.5576100000000004</v>
      </c>
      <c r="Z17" s="255">
        <v>14.287100000000001</v>
      </c>
      <c r="AA17" s="255">
        <v>7.0419900000000002</v>
      </c>
      <c r="AB17" s="255">
        <v>4.9133599999999999</v>
      </c>
      <c r="AC17" s="255">
        <v>27.342320000000001</v>
      </c>
      <c r="AD17" s="255">
        <v>0</v>
      </c>
      <c r="AE17" s="255">
        <v>18.518920000000001</v>
      </c>
      <c r="AF17" s="255">
        <v>2.0523600000000002</v>
      </c>
      <c r="AG17" s="264">
        <v>0</v>
      </c>
      <c r="AH17" s="264">
        <v>0</v>
      </c>
      <c r="AI17" s="264">
        <v>0</v>
      </c>
      <c r="AJ17" s="264">
        <v>0</v>
      </c>
      <c r="AK17" s="264">
        <v>6.7299999999999995</v>
      </c>
      <c r="AL17" s="264">
        <v>0</v>
      </c>
      <c r="AM17" s="264">
        <v>0</v>
      </c>
      <c r="AN17" s="262">
        <f t="shared" si="14"/>
        <v>6.7299999999999995</v>
      </c>
      <c r="AO17" s="262">
        <f t="shared" si="10"/>
        <v>50.987000000000002</v>
      </c>
      <c r="AP17" s="262">
        <f t="shared" si="11"/>
        <v>33.003999999999998</v>
      </c>
      <c r="AQ17" s="262">
        <f t="shared" si="12"/>
        <v>16.007999999999999</v>
      </c>
      <c r="AR17" s="262">
        <f t="shared" si="13"/>
        <v>0</v>
      </c>
    </row>
    <row r="18" spans="1:44" ht="11.25" customHeight="1" x14ac:dyDescent="0.15">
      <c r="A18" s="270" t="e">
        <f>#REF!</f>
        <v>#REF!</v>
      </c>
      <c r="B18" s="255">
        <v>23.36833</v>
      </c>
      <c r="C18" s="255">
        <v>9.6100999999999992</v>
      </c>
      <c r="D18" s="255">
        <v>67.021569999999997</v>
      </c>
      <c r="E18" s="255">
        <v>46.899000000000001</v>
      </c>
      <c r="F18" s="255">
        <v>34.683</v>
      </c>
      <c r="G18" s="255">
        <v>18.417999999999999</v>
      </c>
      <c r="H18" s="255">
        <v>72.209000000000003</v>
      </c>
      <c r="I18" s="255">
        <v>20.696999999999999</v>
      </c>
      <c r="J18" s="255">
        <v>7.0940000000000003</v>
      </c>
      <c r="K18" s="255">
        <v>65.03</v>
      </c>
      <c r="L18" s="255">
        <v>5.1369999999999996</v>
      </c>
      <c r="M18" s="255">
        <v>2.048</v>
      </c>
      <c r="N18" s="255">
        <v>17.042999999999999</v>
      </c>
      <c r="O18" s="255">
        <v>0</v>
      </c>
      <c r="P18" s="255">
        <v>2.88</v>
      </c>
      <c r="Q18" s="255">
        <v>6.0129999999999999</v>
      </c>
      <c r="R18" s="255">
        <v>0</v>
      </c>
      <c r="S18" s="255">
        <v>1.85</v>
      </c>
      <c r="T18" s="255">
        <v>0</v>
      </c>
      <c r="U18" s="255">
        <v>0</v>
      </c>
      <c r="V18" s="255">
        <v>0</v>
      </c>
      <c r="W18" s="255">
        <v>5.5957800000000004</v>
      </c>
      <c r="X18" s="255">
        <v>4.5726500000000003</v>
      </c>
      <c r="Y18" s="255">
        <v>0.26790999999999998</v>
      </c>
      <c r="Z18" s="255">
        <v>7.8881699999999997</v>
      </c>
      <c r="AA18" s="255">
        <v>26.06063</v>
      </c>
      <c r="AB18" s="255">
        <v>0</v>
      </c>
      <c r="AC18" s="255">
        <v>35.365160000000003</v>
      </c>
      <c r="AD18" s="255">
        <v>0</v>
      </c>
      <c r="AE18" s="255">
        <v>18.795680000000001</v>
      </c>
      <c r="AF18" s="255">
        <v>1.4540200000000001</v>
      </c>
      <c r="AG18" s="264">
        <v>0</v>
      </c>
      <c r="AH18" s="264">
        <v>0</v>
      </c>
      <c r="AI18" s="264">
        <v>0</v>
      </c>
      <c r="AJ18" s="264">
        <v>0</v>
      </c>
      <c r="AK18" s="264">
        <v>7.1800000000000006</v>
      </c>
      <c r="AL18" s="264">
        <v>6.72</v>
      </c>
      <c r="AM18" s="264">
        <v>0</v>
      </c>
      <c r="AN18" s="262">
        <f t="shared" si="14"/>
        <v>13.9</v>
      </c>
      <c r="AO18" s="262">
        <f t="shared" si="10"/>
        <v>70.167000000000002</v>
      </c>
      <c r="AP18" s="262">
        <f t="shared" si="11"/>
        <v>19.091000000000001</v>
      </c>
      <c r="AQ18" s="262">
        <f t="shared" si="12"/>
        <v>8.8930000000000007</v>
      </c>
      <c r="AR18" s="262">
        <f t="shared" si="13"/>
        <v>1.85</v>
      </c>
    </row>
    <row r="19" spans="1:44" ht="12" x14ac:dyDescent="0.15">
      <c r="A19" s="270" t="e">
        <f>#REF!</f>
        <v>#REF!</v>
      </c>
      <c r="B19" s="255">
        <v>27.483713999999999</v>
      </c>
      <c r="C19" s="255">
        <v>5.2117259999999996</v>
      </c>
      <c r="D19" s="255">
        <v>67.304559999999995</v>
      </c>
      <c r="E19" s="255">
        <v>39.393321999999998</v>
      </c>
      <c r="F19" s="255">
        <v>46.131920999999998</v>
      </c>
      <c r="G19" s="255">
        <v>14.474755</v>
      </c>
      <c r="H19" s="255">
        <v>60.708468000000003</v>
      </c>
      <c r="I19" s="255">
        <v>25.040716</v>
      </c>
      <c r="J19" s="255">
        <v>14.250814</v>
      </c>
      <c r="K19" s="255">
        <v>79.753664999999998</v>
      </c>
      <c r="L19" s="255">
        <v>0</v>
      </c>
      <c r="M19" s="255">
        <v>0</v>
      </c>
      <c r="N19" s="255">
        <v>2.7178339999999999</v>
      </c>
      <c r="O19" s="255">
        <v>0</v>
      </c>
      <c r="P19" s="255">
        <v>17.528502</v>
      </c>
      <c r="Q19" s="255">
        <v>0</v>
      </c>
      <c r="R19" s="255">
        <v>0</v>
      </c>
      <c r="S19" s="255">
        <v>0</v>
      </c>
      <c r="T19" s="255">
        <v>0</v>
      </c>
      <c r="U19" s="255">
        <v>0</v>
      </c>
      <c r="V19" s="255">
        <v>0</v>
      </c>
      <c r="W19" s="255">
        <v>35.046824000000001</v>
      </c>
      <c r="X19" s="255">
        <v>11.217427000000001</v>
      </c>
      <c r="Y19" s="255">
        <v>0</v>
      </c>
      <c r="Z19" s="255">
        <v>5.2117259999999996</v>
      </c>
      <c r="AA19" s="255">
        <v>3.0741040000000002</v>
      </c>
      <c r="AB19" s="255">
        <v>0</v>
      </c>
      <c r="AC19" s="255">
        <v>29.183631999999999</v>
      </c>
      <c r="AD19" s="255">
        <v>0</v>
      </c>
      <c r="AE19" s="255">
        <v>16.266286999999998</v>
      </c>
      <c r="AF19" s="255">
        <v>0</v>
      </c>
      <c r="AG19" s="264">
        <v>0</v>
      </c>
      <c r="AH19" s="264">
        <v>11.020000000000001</v>
      </c>
      <c r="AI19" s="264">
        <v>0</v>
      </c>
      <c r="AJ19" s="264">
        <v>6.419999999999999</v>
      </c>
      <c r="AK19" s="264">
        <v>0</v>
      </c>
      <c r="AL19" s="264">
        <v>0</v>
      </c>
      <c r="AM19" s="264">
        <v>0</v>
      </c>
      <c r="AN19" s="262">
        <f t="shared" si="14"/>
        <v>17.440000000000001</v>
      </c>
      <c r="AO19" s="262">
        <f t="shared" si="10"/>
        <v>79.753664999999998</v>
      </c>
      <c r="AP19" s="262">
        <f t="shared" si="11"/>
        <v>2.7178339999999999</v>
      </c>
      <c r="AQ19" s="262">
        <f t="shared" si="12"/>
        <v>17.528502</v>
      </c>
      <c r="AR19" s="262">
        <f t="shared" si="13"/>
        <v>0</v>
      </c>
    </row>
    <row r="20" spans="1:44" ht="12" x14ac:dyDescent="0.15">
      <c r="A20" s="270" t="e">
        <f>#REF!</f>
        <v>#REF!</v>
      </c>
      <c r="B20" s="255">
        <v>41.747100000000003</v>
      </c>
      <c r="C20" s="255">
        <v>18.080909999999999</v>
      </c>
      <c r="D20" s="255">
        <v>40.171979999999998</v>
      </c>
      <c r="E20" s="255">
        <v>47.088999999999999</v>
      </c>
      <c r="F20" s="255">
        <v>34.866</v>
      </c>
      <c r="G20" s="255">
        <v>18.045000000000002</v>
      </c>
      <c r="H20" s="255">
        <v>59.366</v>
      </c>
      <c r="I20" s="255">
        <v>28.414999999999999</v>
      </c>
      <c r="J20" s="255">
        <v>12.218999999999999</v>
      </c>
      <c r="K20" s="255">
        <v>7.2930000000000001</v>
      </c>
      <c r="L20" s="255">
        <v>0</v>
      </c>
      <c r="M20" s="255">
        <v>1.25</v>
      </c>
      <c r="N20" s="255">
        <v>2.2629999999999999</v>
      </c>
      <c r="O20" s="255">
        <v>6.14</v>
      </c>
      <c r="P20" s="255">
        <v>0</v>
      </c>
      <c r="Q20" s="255">
        <v>23.164999999999999</v>
      </c>
      <c r="R20" s="255">
        <v>0</v>
      </c>
      <c r="S20" s="255">
        <v>51.796999999999997</v>
      </c>
      <c r="T20" s="255">
        <v>1.931</v>
      </c>
      <c r="U20" s="255">
        <v>6.1609999999999996</v>
      </c>
      <c r="V20" s="255">
        <v>0</v>
      </c>
      <c r="W20" s="255">
        <v>5.7779299999999996</v>
      </c>
      <c r="X20" s="255">
        <v>15.814399999999999</v>
      </c>
      <c r="Y20" s="255">
        <v>3.6047899999999999</v>
      </c>
      <c r="Z20" s="255">
        <v>12.17346</v>
      </c>
      <c r="AA20" s="255">
        <v>11.29941</v>
      </c>
      <c r="AB20" s="255">
        <v>3.0665200000000001</v>
      </c>
      <c r="AC20" s="255">
        <v>23.094639999999998</v>
      </c>
      <c r="AD20" s="255">
        <v>0</v>
      </c>
      <c r="AE20" s="255">
        <v>22.86618</v>
      </c>
      <c r="AF20" s="255">
        <v>2.3026599999999999</v>
      </c>
      <c r="AG20" s="264">
        <v>0</v>
      </c>
      <c r="AH20" s="264">
        <v>0</v>
      </c>
      <c r="AI20" s="264">
        <v>0</v>
      </c>
      <c r="AJ20" s="264">
        <v>0</v>
      </c>
      <c r="AK20" s="264">
        <v>0</v>
      </c>
      <c r="AL20" s="264">
        <v>0</v>
      </c>
      <c r="AM20" s="264">
        <v>0</v>
      </c>
      <c r="AN20" s="262">
        <f t="shared" si="14"/>
        <v>0</v>
      </c>
      <c r="AO20" s="262">
        <f t="shared" si="10"/>
        <v>7.2930000000000001</v>
      </c>
      <c r="AP20" s="262">
        <f t="shared" si="11"/>
        <v>3.5129999999999999</v>
      </c>
      <c r="AQ20" s="262">
        <f t="shared" si="12"/>
        <v>23.164999999999999</v>
      </c>
      <c r="AR20" s="262">
        <f t="shared" si="13"/>
        <v>66.028999999999996</v>
      </c>
    </row>
    <row r="21" spans="1:44" ht="12" x14ac:dyDescent="0.15">
      <c r="A21" s="270" t="e">
        <f>#REF!</f>
        <v>#REF!</v>
      </c>
      <c r="B21" s="255">
        <v>45.459249999999997</v>
      </c>
      <c r="C21" s="255">
        <v>20.440180000000002</v>
      </c>
      <c r="D21" s="255">
        <v>34.100569999999998</v>
      </c>
      <c r="E21" s="255">
        <v>29.526</v>
      </c>
      <c r="F21" s="255">
        <v>48.557000000000002</v>
      </c>
      <c r="G21" s="255">
        <v>21.919</v>
      </c>
      <c r="H21" s="255">
        <v>84.673000000000002</v>
      </c>
      <c r="I21" s="255">
        <v>15.009</v>
      </c>
      <c r="J21" s="255">
        <v>0.32</v>
      </c>
      <c r="K21" s="255">
        <v>1.5820000000000001</v>
      </c>
      <c r="L21" s="255">
        <v>13.539</v>
      </c>
      <c r="M21" s="255">
        <v>9.3680000000000003</v>
      </c>
      <c r="N21" s="255">
        <v>47.125999999999998</v>
      </c>
      <c r="O21" s="255">
        <v>7.1999999999999995E-2</v>
      </c>
      <c r="P21" s="255">
        <v>17.878</v>
      </c>
      <c r="Q21" s="255">
        <v>3.4620000000000002</v>
      </c>
      <c r="R21" s="255">
        <v>6.1360000000000001</v>
      </c>
      <c r="S21" s="255">
        <v>0.127</v>
      </c>
      <c r="T21" s="255">
        <v>0.71099999999999997</v>
      </c>
      <c r="U21" s="255">
        <v>0</v>
      </c>
      <c r="V21" s="255">
        <v>5.5293599999999996</v>
      </c>
      <c r="W21" s="255">
        <v>4.4743899999999996</v>
      </c>
      <c r="X21" s="255">
        <v>6.4691799999999997</v>
      </c>
      <c r="Y21" s="255">
        <v>5.0787000000000004</v>
      </c>
      <c r="Z21" s="255">
        <v>12.236459999999999</v>
      </c>
      <c r="AA21" s="255">
        <v>17.612580000000001</v>
      </c>
      <c r="AB21" s="255">
        <v>6.0918400000000004</v>
      </c>
      <c r="AC21" s="255">
        <v>11.84634</v>
      </c>
      <c r="AD21" s="255">
        <v>0.16725999999999999</v>
      </c>
      <c r="AE21" s="255">
        <v>27.368870000000001</v>
      </c>
      <c r="AF21" s="255">
        <v>3.1250200000000001</v>
      </c>
      <c r="AG21" s="264">
        <v>0</v>
      </c>
      <c r="AH21" s="264">
        <v>0</v>
      </c>
      <c r="AI21" s="264">
        <v>0</v>
      </c>
      <c r="AJ21" s="264">
        <v>0</v>
      </c>
      <c r="AK21" s="264">
        <v>0</v>
      </c>
      <c r="AL21" s="264">
        <v>0</v>
      </c>
      <c r="AM21" s="264">
        <v>0</v>
      </c>
      <c r="AN21" s="262">
        <f t="shared" si="14"/>
        <v>0</v>
      </c>
      <c r="AO21" s="262">
        <f t="shared" si="10"/>
        <v>15.121</v>
      </c>
      <c r="AP21" s="262">
        <f t="shared" si="11"/>
        <v>56.494</v>
      </c>
      <c r="AQ21" s="262">
        <f t="shared" si="12"/>
        <v>27.475999999999999</v>
      </c>
      <c r="AR21" s="262">
        <f t="shared" si="13"/>
        <v>0.90999999999999992</v>
      </c>
    </row>
    <row r="22" spans="1:44" ht="12" x14ac:dyDescent="0.15">
      <c r="A22" s="270" t="e">
        <f>#REF!</f>
        <v>#REF!</v>
      </c>
      <c r="B22" s="255">
        <v>18.591114000000001</v>
      </c>
      <c r="C22" s="255">
        <v>8.8923140000000007</v>
      </c>
      <c r="D22" s="255">
        <v>72.516572999999994</v>
      </c>
      <c r="E22" s="255">
        <v>53.128422</v>
      </c>
      <c r="F22" s="255">
        <v>39.708638000000001</v>
      </c>
      <c r="G22" s="255">
        <v>7.1629389999999997</v>
      </c>
      <c r="H22" s="255">
        <v>43.715544000000001</v>
      </c>
      <c r="I22" s="255">
        <v>29.457159000000001</v>
      </c>
      <c r="J22" s="255">
        <v>26.827296</v>
      </c>
      <c r="K22" s="255">
        <v>52.596195000000002</v>
      </c>
      <c r="L22" s="255">
        <v>4.52501</v>
      </c>
      <c r="M22" s="255">
        <v>0</v>
      </c>
      <c r="N22" s="255">
        <v>31.94088</v>
      </c>
      <c r="O22" s="255">
        <v>0</v>
      </c>
      <c r="P22" s="255">
        <v>0</v>
      </c>
      <c r="Q22" s="255">
        <v>3.9061240000000002</v>
      </c>
      <c r="R22" s="255">
        <v>0</v>
      </c>
      <c r="S22" s="255">
        <v>7.0317910000000001</v>
      </c>
      <c r="T22" s="255">
        <v>0</v>
      </c>
      <c r="U22" s="255">
        <v>0</v>
      </c>
      <c r="V22" s="255">
        <v>18.591114000000001</v>
      </c>
      <c r="W22" s="255">
        <v>0</v>
      </c>
      <c r="X22" s="255">
        <v>0</v>
      </c>
      <c r="Y22" s="255">
        <v>0</v>
      </c>
      <c r="Z22" s="255">
        <v>2.3256420000000002</v>
      </c>
      <c r="AA22" s="255">
        <v>68.610449000000003</v>
      </c>
      <c r="AB22" s="255">
        <v>0</v>
      </c>
      <c r="AC22" s="255">
        <v>3.9061240000000002</v>
      </c>
      <c r="AD22" s="255">
        <v>0</v>
      </c>
      <c r="AE22" s="255">
        <v>0</v>
      </c>
      <c r="AF22" s="255">
        <v>6.5666719999999996</v>
      </c>
      <c r="AG22" s="264">
        <v>0</v>
      </c>
      <c r="AH22" s="264">
        <v>0</v>
      </c>
      <c r="AI22" s="264">
        <v>0</v>
      </c>
      <c r="AJ22" s="264">
        <v>0</v>
      </c>
      <c r="AK22" s="264">
        <v>0</v>
      </c>
      <c r="AL22" s="264">
        <v>0</v>
      </c>
      <c r="AM22" s="264">
        <v>0</v>
      </c>
      <c r="AN22" s="262">
        <f t="shared" si="14"/>
        <v>0</v>
      </c>
      <c r="AO22" s="262">
        <f t="shared" si="10"/>
        <v>57.121205000000003</v>
      </c>
      <c r="AP22" s="262">
        <f t="shared" si="11"/>
        <v>31.94088</v>
      </c>
      <c r="AQ22" s="262">
        <f t="shared" si="12"/>
        <v>3.9061240000000002</v>
      </c>
      <c r="AR22" s="262">
        <f t="shared" si="13"/>
        <v>7.0317910000000001</v>
      </c>
    </row>
    <row r="23" spans="1:44" ht="12" x14ac:dyDescent="0.15">
      <c r="A23" s="270" t="e">
        <f>#REF!</f>
        <v>#REF!</v>
      </c>
      <c r="B23" s="255">
        <v>23.83709</v>
      </c>
      <c r="C23" s="255">
        <v>19.077079999999999</v>
      </c>
      <c r="D23" s="255">
        <v>57.085819999999998</v>
      </c>
      <c r="E23" s="255">
        <v>51.018999999999998</v>
      </c>
      <c r="F23" s="255">
        <v>34.555999999999997</v>
      </c>
      <c r="G23" s="255">
        <v>14.426</v>
      </c>
      <c r="H23" s="255">
        <v>87.088999999999999</v>
      </c>
      <c r="I23" s="255">
        <v>10.199</v>
      </c>
      <c r="J23" s="255">
        <v>2.7130000000000001</v>
      </c>
      <c r="K23" s="255">
        <v>4.1109999999999998</v>
      </c>
      <c r="L23" s="255">
        <v>7.9420000000000002</v>
      </c>
      <c r="M23" s="255">
        <v>23.655999999999999</v>
      </c>
      <c r="N23" s="255">
        <v>29.838999999999999</v>
      </c>
      <c r="O23" s="255">
        <v>0</v>
      </c>
      <c r="P23" s="255">
        <v>9.1630000000000003</v>
      </c>
      <c r="Q23" s="255">
        <v>7.4169999999999998</v>
      </c>
      <c r="R23" s="255">
        <v>0</v>
      </c>
      <c r="S23" s="255">
        <v>10.353999999999999</v>
      </c>
      <c r="T23" s="255">
        <v>2.1640000000000001</v>
      </c>
      <c r="U23" s="255">
        <v>5.3540000000000001</v>
      </c>
      <c r="V23" s="255">
        <v>2.84762</v>
      </c>
      <c r="W23" s="255">
        <v>14.363659999999999</v>
      </c>
      <c r="X23" s="255">
        <v>3.1204700000000001</v>
      </c>
      <c r="Y23" s="255">
        <v>1.59433</v>
      </c>
      <c r="Z23" s="255">
        <v>14.79823</v>
      </c>
      <c r="AA23" s="255">
        <v>23.79243</v>
      </c>
      <c r="AB23" s="255">
        <v>0</v>
      </c>
      <c r="AC23" s="255">
        <v>16.31005</v>
      </c>
      <c r="AD23" s="255">
        <v>2.6196799999999998</v>
      </c>
      <c r="AE23" s="255">
        <v>17.869</v>
      </c>
      <c r="AF23" s="255">
        <v>2.68452</v>
      </c>
      <c r="AG23" s="264">
        <v>0</v>
      </c>
      <c r="AH23" s="264">
        <v>0</v>
      </c>
      <c r="AI23" s="264">
        <v>0</v>
      </c>
      <c r="AJ23" s="264">
        <v>0</v>
      </c>
      <c r="AK23" s="264">
        <v>0</v>
      </c>
      <c r="AL23" s="264">
        <v>0</v>
      </c>
      <c r="AM23" s="264">
        <v>0</v>
      </c>
      <c r="AN23" s="262">
        <f t="shared" si="14"/>
        <v>0</v>
      </c>
      <c r="AO23" s="262">
        <f t="shared" si="10"/>
        <v>12.053000000000001</v>
      </c>
      <c r="AP23" s="262">
        <f t="shared" si="11"/>
        <v>53.494999999999997</v>
      </c>
      <c r="AQ23" s="262">
        <f t="shared" si="12"/>
        <v>16.579999999999998</v>
      </c>
      <c r="AR23" s="262">
        <f t="shared" si="13"/>
        <v>17.872</v>
      </c>
    </row>
    <row r="24" spans="1:44" ht="12" x14ac:dyDescent="0.15">
      <c r="A24" s="270" t="e">
        <f>#REF!</f>
        <v>#REF!</v>
      </c>
      <c r="B24" s="267">
        <v>27.67482</v>
      </c>
      <c r="C24" s="267">
        <v>18.275283000000002</v>
      </c>
      <c r="D24" s="267">
        <v>54.049897000000001</v>
      </c>
      <c r="E24" s="267">
        <v>21.063117999999999</v>
      </c>
      <c r="F24" s="267">
        <v>42.288209000000002</v>
      </c>
      <c r="G24" s="267">
        <v>36.648674</v>
      </c>
      <c r="H24" s="267">
        <v>59.140507999999997</v>
      </c>
      <c r="I24" s="267">
        <v>31.898142</v>
      </c>
      <c r="J24" s="267">
        <v>8.9613510000000005</v>
      </c>
      <c r="K24" s="267">
        <v>100</v>
      </c>
      <c r="L24" s="267">
        <v>0</v>
      </c>
      <c r="M24" s="267">
        <v>0</v>
      </c>
      <c r="N24" s="267">
        <v>0</v>
      </c>
      <c r="O24" s="267">
        <v>0</v>
      </c>
      <c r="P24" s="267">
        <v>0</v>
      </c>
      <c r="Q24" s="267">
        <v>0</v>
      </c>
      <c r="R24" s="267">
        <v>0</v>
      </c>
      <c r="S24" s="267">
        <v>0</v>
      </c>
      <c r="T24" s="267">
        <v>0</v>
      </c>
      <c r="U24" s="267">
        <v>0</v>
      </c>
      <c r="V24" s="267">
        <v>0</v>
      </c>
      <c r="W24" s="267">
        <v>9.8266380000000009</v>
      </c>
      <c r="X24" s="267">
        <v>11.192201000000001</v>
      </c>
      <c r="Y24" s="267">
        <v>5.6126269999999998</v>
      </c>
      <c r="Z24" s="267">
        <v>9.9619110000000006</v>
      </c>
      <c r="AA24" s="267">
        <v>6.1647650000000001</v>
      </c>
      <c r="AB24" s="267">
        <v>2.1818770000000001</v>
      </c>
      <c r="AC24" s="267">
        <v>38.058494000000003</v>
      </c>
      <c r="AD24" s="267">
        <v>0</v>
      </c>
      <c r="AE24" s="267">
        <v>14.300742</v>
      </c>
      <c r="AF24" s="267">
        <v>2.700745</v>
      </c>
      <c r="AG24" s="267">
        <v>3.1300000000000001E-2</v>
      </c>
      <c r="AH24" s="267"/>
      <c r="AI24" s="267">
        <v>2.9600000000000001E-2</v>
      </c>
      <c r="AJ24" s="267">
        <v>3.3000000000000002E-2</v>
      </c>
      <c r="AK24" s="267">
        <v>2.98E-2</v>
      </c>
      <c r="AL24" s="267"/>
      <c r="AM24" s="267"/>
      <c r="AN24" s="262">
        <f t="shared" si="14"/>
        <v>0.1237</v>
      </c>
      <c r="AO24" s="262">
        <f t="shared" si="10"/>
        <v>100</v>
      </c>
      <c r="AP24" s="262">
        <f t="shared" si="11"/>
        <v>0</v>
      </c>
      <c r="AQ24" s="262">
        <f t="shared" si="12"/>
        <v>0</v>
      </c>
      <c r="AR24" s="262">
        <f t="shared" si="13"/>
        <v>0</v>
      </c>
    </row>
    <row r="25" spans="1:44" ht="12" x14ac:dyDescent="0.15">
      <c r="A25" s="270" t="e">
        <f>#REF!</f>
        <v>#REF!</v>
      </c>
      <c r="B25" s="255">
        <v>24.064959999999999</v>
      </c>
      <c r="C25" s="255">
        <v>15.77394</v>
      </c>
      <c r="D25" s="255">
        <v>60.161110000000001</v>
      </c>
      <c r="E25" s="255">
        <v>11.444000000000001</v>
      </c>
      <c r="F25" s="255">
        <v>49.435000000000002</v>
      </c>
      <c r="G25" s="255">
        <v>39.122</v>
      </c>
      <c r="H25" s="255">
        <v>87.421000000000006</v>
      </c>
      <c r="I25" s="255">
        <v>12.141999999999999</v>
      </c>
      <c r="J25" s="255">
        <v>0.438</v>
      </c>
      <c r="K25" s="255">
        <v>99.954999999999998</v>
      </c>
      <c r="L25" s="255">
        <v>0</v>
      </c>
      <c r="M25" s="255">
        <v>4.4999999999999998E-2</v>
      </c>
      <c r="N25" s="255">
        <v>0</v>
      </c>
      <c r="O25" s="255">
        <v>0</v>
      </c>
      <c r="P25" s="255">
        <v>0</v>
      </c>
      <c r="Q25" s="255">
        <v>0</v>
      </c>
      <c r="R25" s="255">
        <v>0</v>
      </c>
      <c r="S25" s="255">
        <v>0</v>
      </c>
      <c r="T25" s="255">
        <v>0</v>
      </c>
      <c r="U25" s="255">
        <v>0</v>
      </c>
      <c r="V25" s="255">
        <v>1.39889</v>
      </c>
      <c r="W25" s="255">
        <v>11.925179999999999</v>
      </c>
      <c r="X25" s="255">
        <v>10.41672</v>
      </c>
      <c r="Y25" s="255">
        <v>3.3376299999999999</v>
      </c>
      <c r="Z25" s="255">
        <v>9.16404</v>
      </c>
      <c r="AA25" s="255">
        <v>7.0381099999999996</v>
      </c>
      <c r="AB25" s="255">
        <v>1.0285200000000001</v>
      </c>
      <c r="AC25" s="255">
        <v>37.365580000000001</v>
      </c>
      <c r="AD25" s="255">
        <v>3.8322400000000001</v>
      </c>
      <c r="AE25" s="255">
        <v>11.220829999999999</v>
      </c>
      <c r="AF25" s="255">
        <v>3.2722699999999998</v>
      </c>
      <c r="AG25" s="264">
        <v>5.13</v>
      </c>
      <c r="AH25" s="264">
        <v>4.3600000000000003</v>
      </c>
      <c r="AI25" s="264">
        <v>4.8599999999999994</v>
      </c>
      <c r="AJ25" s="264">
        <v>3.58</v>
      </c>
      <c r="AK25" s="264">
        <v>4.8500000000000005</v>
      </c>
      <c r="AL25" s="264">
        <v>5.0999999999999996</v>
      </c>
      <c r="AM25" s="264">
        <v>4.08</v>
      </c>
      <c r="AN25" s="262">
        <f t="shared" si="14"/>
        <v>31.96</v>
      </c>
      <c r="AO25" s="262">
        <f t="shared" si="10"/>
        <v>99.954999999999998</v>
      </c>
      <c r="AP25" s="262">
        <f t="shared" si="11"/>
        <v>4.4999999999999998E-2</v>
      </c>
      <c r="AQ25" s="262">
        <f t="shared" si="12"/>
        <v>0</v>
      </c>
      <c r="AR25" s="262">
        <f t="shared" si="13"/>
        <v>0</v>
      </c>
    </row>
    <row r="26" spans="1:44" ht="12" x14ac:dyDescent="0.15">
      <c r="A26" s="270" t="e">
        <f>#REF!</f>
        <v>#REF!</v>
      </c>
      <c r="B26" s="255">
        <v>17.879038999999999</v>
      </c>
      <c r="C26" s="255">
        <v>22.156828000000001</v>
      </c>
      <c r="D26" s="255">
        <v>59.964134999999999</v>
      </c>
      <c r="E26" s="255">
        <v>47.575000000000003</v>
      </c>
      <c r="F26" s="255">
        <v>35.901000000000003</v>
      </c>
      <c r="G26" s="255">
        <v>16.524000000000001</v>
      </c>
      <c r="H26" s="255">
        <v>44.247999999999998</v>
      </c>
      <c r="I26" s="255">
        <v>33.387999999999998</v>
      </c>
      <c r="J26" s="255">
        <v>22.364000000000001</v>
      </c>
      <c r="K26" s="255">
        <v>68.552313999999996</v>
      </c>
      <c r="L26" s="255">
        <v>5.0959490000000001</v>
      </c>
      <c r="M26" s="255">
        <v>1.823982</v>
      </c>
      <c r="N26" s="255">
        <v>13.175867999999999</v>
      </c>
      <c r="O26" s="255">
        <v>0</v>
      </c>
      <c r="P26" s="255">
        <v>0.97399000000000002</v>
      </c>
      <c r="Q26" s="255">
        <v>5.063949</v>
      </c>
      <c r="R26" s="255">
        <v>1.9259809999999999</v>
      </c>
      <c r="S26" s="255">
        <v>1.3859859999999999</v>
      </c>
      <c r="T26" s="255">
        <v>2.0019800000000001</v>
      </c>
      <c r="U26" s="255">
        <v>0</v>
      </c>
      <c r="V26" s="255">
        <v>0.59533999999999998</v>
      </c>
      <c r="W26" s="255">
        <v>4.7218799999999996</v>
      </c>
      <c r="X26" s="255">
        <v>3.7961200000000002</v>
      </c>
      <c r="Y26" s="255">
        <v>7.6024089999999998</v>
      </c>
      <c r="Z26" s="255">
        <v>12.176599</v>
      </c>
      <c r="AA26" s="255">
        <v>22.725898000000001</v>
      </c>
      <c r="AB26" s="255">
        <v>3.2294900000000002</v>
      </c>
      <c r="AC26" s="255">
        <v>32.516356999999999</v>
      </c>
      <c r="AD26" s="255">
        <v>0</v>
      </c>
      <c r="AE26" s="255">
        <v>10.258089</v>
      </c>
      <c r="AF26" s="255">
        <v>2.3778199999999998</v>
      </c>
      <c r="AG26" s="264">
        <v>0</v>
      </c>
      <c r="AH26" s="264">
        <v>0</v>
      </c>
      <c r="AI26" s="264">
        <v>1.9800000000000002</v>
      </c>
      <c r="AJ26" s="264">
        <v>0</v>
      </c>
      <c r="AK26" s="264">
        <v>1.3</v>
      </c>
      <c r="AL26" s="264">
        <v>0</v>
      </c>
      <c r="AM26" s="264">
        <v>0</v>
      </c>
      <c r="AN26" s="262">
        <f t="shared" si="14"/>
        <v>3.2800000000000002</v>
      </c>
      <c r="AO26" s="262">
        <f t="shared" si="10"/>
        <v>73.648263</v>
      </c>
      <c r="AP26" s="262">
        <f t="shared" si="11"/>
        <v>14.999849999999999</v>
      </c>
      <c r="AQ26" s="262">
        <f t="shared" si="12"/>
        <v>7.9639199999999999</v>
      </c>
      <c r="AR26" s="262">
        <f t="shared" si="13"/>
        <v>3.387966</v>
      </c>
    </row>
    <row r="27" spans="1:44" ht="12" x14ac:dyDescent="0.15">
      <c r="A27" s="270" t="e">
        <f>#REF!</f>
        <v>#REF!</v>
      </c>
      <c r="B27" s="255">
        <v>30.203029999999998</v>
      </c>
      <c r="C27" s="255">
        <v>18.488289999999999</v>
      </c>
      <c r="D27" s="255">
        <v>51.308680000000003</v>
      </c>
      <c r="E27" s="255">
        <v>27.175000000000001</v>
      </c>
      <c r="F27" s="255">
        <v>49.843000000000004</v>
      </c>
      <c r="G27" s="255">
        <v>22.981999999999999</v>
      </c>
      <c r="H27" s="263">
        <v>55.206000000000003</v>
      </c>
      <c r="I27" s="263">
        <v>34.124000000000002</v>
      </c>
      <c r="J27" s="263">
        <v>10.67</v>
      </c>
      <c r="K27" s="255">
        <v>57.417999999999999</v>
      </c>
      <c r="L27" s="255">
        <v>3.8090000000000002</v>
      </c>
      <c r="M27" s="255">
        <v>2.4289999999999998</v>
      </c>
      <c r="N27" s="255">
        <v>13.215999999999999</v>
      </c>
      <c r="O27" s="255">
        <v>0.42699999999999999</v>
      </c>
      <c r="P27" s="255">
        <v>5.2649999999999997</v>
      </c>
      <c r="Q27" s="255">
        <v>4.6719999999999997</v>
      </c>
      <c r="R27" s="255">
        <v>2.2789999999999999</v>
      </c>
      <c r="S27" s="255">
        <v>6.7610000000000001</v>
      </c>
      <c r="T27" s="255">
        <v>1.504</v>
      </c>
      <c r="U27" s="255">
        <v>2.2210000000000001</v>
      </c>
      <c r="V27" s="255">
        <v>1.2624</v>
      </c>
      <c r="W27" s="255">
        <v>10.100910000000001</v>
      </c>
      <c r="X27" s="255">
        <v>5.7671299999999999</v>
      </c>
      <c r="Y27" s="255">
        <v>4.3669900000000004</v>
      </c>
      <c r="Z27" s="255">
        <v>11.93468</v>
      </c>
      <c r="AA27" s="255">
        <v>14.909380000000001</v>
      </c>
      <c r="AB27" s="255">
        <v>0.54249999999999998</v>
      </c>
      <c r="AC27" s="255">
        <v>26.298390000000001</v>
      </c>
      <c r="AD27" s="255">
        <v>0</v>
      </c>
      <c r="AE27" s="255">
        <v>22.631</v>
      </c>
      <c r="AF27" s="255">
        <v>2.18662</v>
      </c>
      <c r="AG27" s="264">
        <v>0</v>
      </c>
      <c r="AH27" s="264">
        <v>0</v>
      </c>
      <c r="AI27" s="264">
        <v>0</v>
      </c>
      <c r="AJ27" s="264">
        <v>0</v>
      </c>
      <c r="AK27" s="264">
        <v>0</v>
      </c>
      <c r="AL27" s="264">
        <v>2.8899999999999997</v>
      </c>
      <c r="AM27" s="264">
        <v>0</v>
      </c>
      <c r="AN27" s="262">
        <f>SUM(AG27:AM27)</f>
        <v>2.8899999999999997</v>
      </c>
      <c r="AO27" s="262">
        <f t="shared" si="10"/>
        <v>61.226999999999997</v>
      </c>
      <c r="AP27" s="262">
        <f t="shared" si="11"/>
        <v>15.645</v>
      </c>
      <c r="AQ27" s="262">
        <f t="shared" si="12"/>
        <v>12.215999999999999</v>
      </c>
      <c r="AR27" s="262">
        <f t="shared" si="13"/>
        <v>10.913</v>
      </c>
    </row>
    <row r="28" spans="1:44" ht="12" x14ac:dyDescent="0.15">
      <c r="A28" s="270" t="e">
        <f>#REF!</f>
        <v>#REF!</v>
      </c>
      <c r="B28" s="255">
        <v>32.061839999999997</v>
      </c>
      <c r="C28" s="255">
        <v>15.07545</v>
      </c>
      <c r="D28" s="255">
        <v>52.862690000000001</v>
      </c>
      <c r="E28" s="255">
        <v>24.433</v>
      </c>
      <c r="F28" s="255">
        <v>58.988999999999997</v>
      </c>
      <c r="G28" s="255">
        <v>16.577000000000002</v>
      </c>
      <c r="H28" s="255">
        <v>80.602999999999994</v>
      </c>
      <c r="I28" s="255">
        <v>19.396000000000001</v>
      </c>
      <c r="J28" s="255">
        <v>0</v>
      </c>
      <c r="K28" s="255">
        <v>100</v>
      </c>
      <c r="L28" s="255">
        <v>0</v>
      </c>
      <c r="M28" s="255">
        <v>0</v>
      </c>
      <c r="N28" s="255">
        <v>0</v>
      </c>
      <c r="O28" s="255">
        <v>0</v>
      </c>
      <c r="P28" s="255">
        <v>0</v>
      </c>
      <c r="Q28" s="255">
        <v>0</v>
      </c>
      <c r="R28" s="255">
        <v>0</v>
      </c>
      <c r="S28" s="255">
        <v>0</v>
      </c>
      <c r="T28" s="255">
        <v>0</v>
      </c>
      <c r="U28" s="255">
        <v>0</v>
      </c>
      <c r="V28" s="255">
        <v>3.7913899999999998</v>
      </c>
      <c r="W28" s="255">
        <v>5.8280200000000004</v>
      </c>
      <c r="X28" s="255">
        <v>11.279960000000001</v>
      </c>
      <c r="Y28" s="255">
        <v>2.5874100000000002</v>
      </c>
      <c r="Z28" s="255">
        <v>12.48804</v>
      </c>
      <c r="AA28" s="255">
        <v>12.962680000000001</v>
      </c>
      <c r="AB28" s="255">
        <v>2.97933</v>
      </c>
      <c r="AC28" s="255">
        <v>34.07199</v>
      </c>
      <c r="AD28" s="255">
        <v>0</v>
      </c>
      <c r="AE28" s="255">
        <v>14.01116</v>
      </c>
      <c r="AF28" s="255">
        <v>0</v>
      </c>
      <c r="AG28" s="264">
        <v>5.8000000000000007</v>
      </c>
      <c r="AH28" s="264">
        <v>5.86</v>
      </c>
      <c r="AI28" s="264">
        <v>2.54</v>
      </c>
      <c r="AJ28" s="264">
        <v>0</v>
      </c>
      <c r="AK28" s="264">
        <v>6.5100000000000007</v>
      </c>
      <c r="AL28" s="264">
        <v>6.5299999999999994</v>
      </c>
      <c r="AM28" s="264">
        <v>0</v>
      </c>
      <c r="AN28" s="262">
        <f>SUM(AG28:AM28)</f>
        <v>27.240000000000002</v>
      </c>
      <c r="AO28" s="262">
        <f t="shared" si="10"/>
        <v>100</v>
      </c>
      <c r="AP28" s="262">
        <f t="shared" si="11"/>
        <v>0</v>
      </c>
      <c r="AQ28" s="262">
        <f t="shared" si="12"/>
        <v>0</v>
      </c>
      <c r="AR28" s="262">
        <f t="shared" si="13"/>
        <v>0</v>
      </c>
    </row>
    <row r="29" spans="1:44" ht="12" x14ac:dyDescent="0.15">
      <c r="A29" s="270" t="e">
        <f>#REF!</f>
        <v>#REF!</v>
      </c>
      <c r="B29" s="255">
        <v>27.77589</v>
      </c>
      <c r="C29" s="255">
        <v>17.53641</v>
      </c>
      <c r="D29" s="255">
        <v>54.687719999999999</v>
      </c>
      <c r="E29" s="255">
        <v>24.283000000000001</v>
      </c>
      <c r="F29" s="255">
        <v>54.582000000000001</v>
      </c>
      <c r="G29" s="255">
        <v>21.135000000000002</v>
      </c>
      <c r="H29" s="263">
        <v>79.691000000000003</v>
      </c>
      <c r="I29" s="263">
        <v>20.309000000000001</v>
      </c>
      <c r="J29" s="263">
        <v>0</v>
      </c>
      <c r="K29" s="255">
        <v>100</v>
      </c>
      <c r="L29" s="255">
        <v>0</v>
      </c>
      <c r="M29" s="255">
        <v>0</v>
      </c>
      <c r="N29" s="255">
        <v>0</v>
      </c>
      <c r="O29" s="255">
        <v>0</v>
      </c>
      <c r="P29" s="255">
        <v>0</v>
      </c>
      <c r="Q29" s="255">
        <v>0</v>
      </c>
      <c r="R29" s="255">
        <v>0</v>
      </c>
      <c r="S29" s="255">
        <v>0</v>
      </c>
      <c r="T29" s="255">
        <v>0</v>
      </c>
      <c r="U29" s="255">
        <v>0</v>
      </c>
      <c r="V29" s="255">
        <v>2.3550499999999999</v>
      </c>
      <c r="W29" s="255">
        <v>13.924630000000001</v>
      </c>
      <c r="X29" s="255">
        <v>8.8917699999999993</v>
      </c>
      <c r="Y29" s="255">
        <v>5.5725100000000003</v>
      </c>
      <c r="Z29" s="255">
        <v>10.37884</v>
      </c>
      <c r="AA29" s="255">
        <v>8.0389800000000005</v>
      </c>
      <c r="AB29" s="255">
        <v>2.22939</v>
      </c>
      <c r="AC29" s="255">
        <v>32.724110000000003</v>
      </c>
      <c r="AD29" s="255">
        <v>0</v>
      </c>
      <c r="AE29" s="255">
        <v>14.29968</v>
      </c>
      <c r="AF29" s="255">
        <v>1.5850599999999999</v>
      </c>
      <c r="AG29" s="264">
        <v>4.8500000000000005</v>
      </c>
      <c r="AH29" s="264">
        <v>0</v>
      </c>
      <c r="AI29" s="264">
        <v>5.71</v>
      </c>
      <c r="AJ29" s="264">
        <v>0</v>
      </c>
      <c r="AK29" s="264">
        <v>8.39</v>
      </c>
      <c r="AL29" s="264">
        <v>6.58</v>
      </c>
      <c r="AM29" s="264">
        <v>0</v>
      </c>
      <c r="AN29" s="262">
        <f>SUM(AG29:AM29)</f>
        <v>25.53</v>
      </c>
      <c r="AO29" s="262">
        <f t="shared" si="10"/>
        <v>100</v>
      </c>
      <c r="AP29" s="262">
        <f t="shared" si="11"/>
        <v>0</v>
      </c>
      <c r="AQ29" s="262">
        <f t="shared" si="12"/>
        <v>0</v>
      </c>
      <c r="AR29" s="262">
        <f t="shared" si="13"/>
        <v>0</v>
      </c>
    </row>
    <row r="30" spans="1:44" ht="12" x14ac:dyDescent="0.15">
      <c r="A30" s="270" t="e">
        <f>#REF!</f>
        <v>#REF!</v>
      </c>
      <c r="B30" s="255">
        <v>30.67916</v>
      </c>
      <c r="C30" s="255">
        <v>6.6468100000000003</v>
      </c>
      <c r="D30" s="255">
        <v>62.674039999999998</v>
      </c>
      <c r="E30" s="255">
        <v>42.883000000000003</v>
      </c>
      <c r="F30" s="255">
        <v>52.475999999999999</v>
      </c>
      <c r="G30" s="255">
        <v>4.641</v>
      </c>
      <c r="H30" s="255">
        <v>69.516999999999996</v>
      </c>
      <c r="I30" s="255">
        <v>30.483000000000001</v>
      </c>
      <c r="J30" s="255">
        <v>0</v>
      </c>
      <c r="K30" s="255">
        <v>95.188000000000002</v>
      </c>
      <c r="L30" s="255">
        <v>1.4810000000000001</v>
      </c>
      <c r="M30" s="255">
        <v>0</v>
      </c>
      <c r="N30" s="255">
        <v>0</v>
      </c>
      <c r="O30" s="255">
        <v>0</v>
      </c>
      <c r="P30" s="255">
        <v>0</v>
      </c>
      <c r="Q30" s="255">
        <v>3.331</v>
      </c>
      <c r="R30" s="255">
        <v>0</v>
      </c>
      <c r="S30" s="255">
        <v>0</v>
      </c>
      <c r="T30" s="255">
        <v>0</v>
      </c>
      <c r="U30" s="255">
        <v>0</v>
      </c>
      <c r="V30" s="255">
        <v>1.76823</v>
      </c>
      <c r="W30" s="255">
        <v>3.4018799999999998</v>
      </c>
      <c r="X30" s="255">
        <v>11.36279</v>
      </c>
      <c r="Y30" s="255">
        <v>0</v>
      </c>
      <c r="Z30" s="255">
        <v>6.6468100000000003</v>
      </c>
      <c r="AA30" s="255">
        <v>10.632250000000001</v>
      </c>
      <c r="AB30" s="255">
        <v>0</v>
      </c>
      <c r="AC30" s="255">
        <v>48.63991</v>
      </c>
      <c r="AD30" s="255">
        <v>0</v>
      </c>
      <c r="AE30" s="255">
        <v>17.54814</v>
      </c>
      <c r="AF30" s="255">
        <v>0</v>
      </c>
      <c r="AG30" s="264">
        <v>0</v>
      </c>
      <c r="AH30" s="264">
        <v>7.3800000000000008</v>
      </c>
      <c r="AI30" s="264">
        <v>0</v>
      </c>
      <c r="AJ30" s="264">
        <v>0</v>
      </c>
      <c r="AK30" s="264">
        <v>8.6900000000000013</v>
      </c>
      <c r="AL30" s="264">
        <v>8.51</v>
      </c>
      <c r="AM30" s="264">
        <v>0</v>
      </c>
      <c r="AN30" s="262">
        <f>SUM(AG30:AM30)</f>
        <v>24.58</v>
      </c>
      <c r="AO30" s="262">
        <f t="shared" si="10"/>
        <v>96.668999999999997</v>
      </c>
      <c r="AP30" s="262">
        <f t="shared" si="11"/>
        <v>0</v>
      </c>
      <c r="AQ30" s="262">
        <f t="shared" si="12"/>
        <v>3.331</v>
      </c>
      <c r="AR30" s="262">
        <f t="shared" si="13"/>
        <v>0</v>
      </c>
    </row>
    <row r="31" spans="1:44" ht="12" x14ac:dyDescent="0.15">
      <c r="A31" s="270" t="e">
        <f>#REF!</f>
        <v>#REF!</v>
      </c>
      <c r="B31" s="255">
        <v>0</v>
      </c>
      <c r="C31" s="255">
        <v>18.497087000000001</v>
      </c>
      <c r="D31" s="255">
        <v>81.502913000000007</v>
      </c>
      <c r="E31" s="255">
        <v>7.9278250000000003</v>
      </c>
      <c r="F31" s="255">
        <v>22.981902000000002</v>
      </c>
      <c r="G31" s="255">
        <v>69.090271000000001</v>
      </c>
      <c r="H31" s="255">
        <v>23.956937</v>
      </c>
      <c r="I31" s="255">
        <v>57.865268</v>
      </c>
      <c r="J31" s="255">
        <v>18.177793000000001</v>
      </c>
      <c r="K31" s="255">
        <v>78.790560999999997</v>
      </c>
      <c r="L31" s="255">
        <v>10.926152</v>
      </c>
      <c r="M31" s="255">
        <v>4.5957509999999999</v>
      </c>
      <c r="N31" s="255">
        <v>5.6875359999999997</v>
      </c>
      <c r="O31" s="255">
        <v>0</v>
      </c>
      <c r="P31" s="255">
        <v>0</v>
      </c>
      <c r="Q31" s="255">
        <v>0</v>
      </c>
      <c r="R31" s="255">
        <v>0</v>
      </c>
      <c r="S31" s="255">
        <v>0</v>
      </c>
      <c r="T31" s="255">
        <v>0</v>
      </c>
      <c r="U31" s="255">
        <v>0</v>
      </c>
      <c r="V31" s="255">
        <v>0</v>
      </c>
      <c r="W31" s="255">
        <v>0</v>
      </c>
      <c r="X31" s="255">
        <v>0</v>
      </c>
      <c r="Y31" s="255">
        <v>0</v>
      </c>
      <c r="Z31" s="255">
        <v>0</v>
      </c>
      <c r="AA31" s="255">
        <v>2.8884050000000001</v>
      </c>
      <c r="AB31" s="255">
        <v>0</v>
      </c>
      <c r="AC31" s="255">
        <v>0.21635099999999999</v>
      </c>
      <c r="AD31" s="255">
        <v>78.398156999999998</v>
      </c>
      <c r="AE31" s="255">
        <v>0</v>
      </c>
      <c r="AF31" s="255">
        <v>18.497087000000001</v>
      </c>
      <c r="AG31" s="264">
        <v>0</v>
      </c>
      <c r="AH31" s="264">
        <v>0</v>
      </c>
      <c r="AI31" s="264">
        <v>0</v>
      </c>
      <c r="AJ31" s="264">
        <v>0</v>
      </c>
      <c r="AK31" s="264">
        <v>0</v>
      </c>
      <c r="AL31" s="264">
        <v>0</v>
      </c>
      <c r="AM31" s="264">
        <v>0</v>
      </c>
      <c r="AN31" s="262">
        <f t="shared" si="14"/>
        <v>0</v>
      </c>
      <c r="AO31" s="262">
        <f t="shared" si="10"/>
        <v>89.716712999999999</v>
      </c>
      <c r="AP31" s="262">
        <f t="shared" si="11"/>
        <v>10.283287</v>
      </c>
      <c r="AQ31" s="262">
        <f t="shared" si="12"/>
        <v>0</v>
      </c>
      <c r="AR31" s="262">
        <f t="shared" si="13"/>
        <v>0</v>
      </c>
    </row>
    <row r="32" spans="1:44" ht="12" x14ac:dyDescent="0.15">
      <c r="A32" s="270" t="e">
        <f>#REF!</f>
        <v>#REF!</v>
      </c>
      <c r="B32" s="255">
        <v>32.422519999999999</v>
      </c>
      <c r="C32" s="255">
        <v>29.868870000000001</v>
      </c>
      <c r="D32" s="255">
        <v>37.708599999999997</v>
      </c>
      <c r="E32" s="255">
        <v>18.405999999999999</v>
      </c>
      <c r="F32" s="255">
        <v>47.334000000000003</v>
      </c>
      <c r="G32" s="255">
        <v>34.26</v>
      </c>
      <c r="H32" s="255">
        <v>77.927000000000007</v>
      </c>
      <c r="I32" s="255">
        <v>19.693000000000001</v>
      </c>
      <c r="J32" s="255">
        <v>2.38</v>
      </c>
      <c r="K32" s="255">
        <v>11.198</v>
      </c>
      <c r="L32" s="255">
        <v>4.7539999999999996</v>
      </c>
      <c r="M32" s="255">
        <v>21.338999999999999</v>
      </c>
      <c r="N32" s="255">
        <v>48.478999999999999</v>
      </c>
      <c r="O32" s="255">
        <v>0</v>
      </c>
      <c r="P32" s="255">
        <v>0.88300000000000001</v>
      </c>
      <c r="Q32" s="255">
        <v>6.6310000000000002</v>
      </c>
      <c r="R32" s="255">
        <v>0</v>
      </c>
      <c r="S32" s="255">
        <v>5.8689999999999998</v>
      </c>
      <c r="T32" s="255">
        <v>0</v>
      </c>
      <c r="U32" s="255">
        <v>0.84599999999999997</v>
      </c>
      <c r="V32" s="255">
        <v>6.4995700000000003</v>
      </c>
      <c r="W32" s="255">
        <v>4.0321899999999999</v>
      </c>
      <c r="X32" s="255">
        <v>10.64349</v>
      </c>
      <c r="Y32" s="255">
        <v>18.394659999999998</v>
      </c>
      <c r="Z32" s="255">
        <v>11.474209999999999</v>
      </c>
      <c r="AA32" s="255">
        <v>15.101240000000001</v>
      </c>
      <c r="AB32" s="255">
        <v>0</v>
      </c>
      <c r="AC32" s="255">
        <v>15.5151</v>
      </c>
      <c r="AD32" s="255">
        <v>3.0600700000000001</v>
      </c>
      <c r="AE32" s="255">
        <v>15.27946</v>
      </c>
      <c r="AF32" s="255">
        <v>0</v>
      </c>
      <c r="AG32" s="264">
        <v>0</v>
      </c>
      <c r="AH32" s="264">
        <v>0</v>
      </c>
      <c r="AI32" s="264">
        <v>0</v>
      </c>
      <c r="AJ32" s="264">
        <v>0</v>
      </c>
      <c r="AK32" s="264">
        <v>0</v>
      </c>
      <c r="AL32" s="264">
        <v>0</v>
      </c>
      <c r="AM32" s="264">
        <v>0</v>
      </c>
      <c r="AN32" s="262">
        <f t="shared" si="14"/>
        <v>0</v>
      </c>
      <c r="AO32" s="262">
        <f t="shared" si="10"/>
        <v>15.952</v>
      </c>
      <c r="AP32" s="262">
        <f t="shared" si="11"/>
        <v>69.817999999999998</v>
      </c>
      <c r="AQ32" s="262">
        <f t="shared" si="12"/>
        <v>7.5140000000000002</v>
      </c>
      <c r="AR32" s="262">
        <f t="shared" si="13"/>
        <v>6.7149999999999999</v>
      </c>
    </row>
    <row r="33" spans="1:44" ht="12" x14ac:dyDescent="0.15">
      <c r="A33" s="270" t="e">
        <f>#REF!</f>
        <v>#REF!</v>
      </c>
      <c r="B33" s="255">
        <v>22.04195</v>
      </c>
      <c r="C33" s="255">
        <v>45.09064</v>
      </c>
      <c r="D33" s="255">
        <v>32.86741</v>
      </c>
      <c r="E33" s="255">
        <v>12.936</v>
      </c>
      <c r="F33" s="255">
        <v>30.297000000000001</v>
      </c>
      <c r="G33" s="255">
        <v>56.765999999999998</v>
      </c>
      <c r="H33" s="255">
        <v>83.034999999999997</v>
      </c>
      <c r="I33" s="255">
        <v>16.963999999999999</v>
      </c>
      <c r="J33" s="255">
        <v>0</v>
      </c>
      <c r="K33" s="255">
        <v>68.835999999999999</v>
      </c>
      <c r="L33" s="255">
        <v>2.41</v>
      </c>
      <c r="M33" s="255">
        <v>2.3959999999999999</v>
      </c>
      <c r="N33" s="255">
        <v>12.612</v>
      </c>
      <c r="O33" s="255">
        <v>0</v>
      </c>
      <c r="P33" s="255">
        <v>0</v>
      </c>
      <c r="Q33" s="255">
        <v>1.3420000000000001</v>
      </c>
      <c r="R33" s="255">
        <v>0</v>
      </c>
      <c r="S33" s="255">
        <v>8.4930000000000003</v>
      </c>
      <c r="T33" s="255">
        <v>0.78700000000000003</v>
      </c>
      <c r="U33" s="255">
        <v>3.1230000000000002</v>
      </c>
      <c r="V33" s="255">
        <v>0</v>
      </c>
      <c r="W33" s="255">
        <v>14.54265</v>
      </c>
      <c r="X33" s="255">
        <v>1.958E-2</v>
      </c>
      <c r="Y33" s="255">
        <v>20.242090000000001</v>
      </c>
      <c r="Z33" s="255">
        <v>6.7055100000000003</v>
      </c>
      <c r="AA33" s="255">
        <v>1.3285100000000001</v>
      </c>
      <c r="AB33" s="255">
        <v>0</v>
      </c>
      <c r="AC33" s="255">
        <v>6.9843799999999998</v>
      </c>
      <c r="AD33" s="255">
        <v>10.01187</v>
      </c>
      <c r="AE33" s="255">
        <v>22.022369999999999</v>
      </c>
      <c r="AF33" s="255">
        <v>18.143039999999999</v>
      </c>
      <c r="AG33" s="264">
        <v>0</v>
      </c>
      <c r="AH33" s="264">
        <v>0.02</v>
      </c>
      <c r="AI33" s="264">
        <v>0</v>
      </c>
      <c r="AJ33" s="264">
        <v>2.4899999999999998</v>
      </c>
      <c r="AK33" s="264">
        <v>2.64</v>
      </c>
      <c r="AL33" s="264">
        <v>0</v>
      </c>
      <c r="AM33" s="264">
        <v>0</v>
      </c>
      <c r="AN33" s="262">
        <f t="shared" si="14"/>
        <v>5.15</v>
      </c>
      <c r="AO33" s="262">
        <f t="shared" si="10"/>
        <v>71.245999999999995</v>
      </c>
      <c r="AP33" s="262">
        <f t="shared" si="11"/>
        <v>15.007999999999999</v>
      </c>
      <c r="AQ33" s="262">
        <f t="shared" si="12"/>
        <v>1.3420000000000001</v>
      </c>
      <c r="AR33" s="262">
        <f t="shared" si="13"/>
        <v>12.403000000000002</v>
      </c>
    </row>
    <row r="34" spans="1:44" ht="12" x14ac:dyDescent="0.15">
      <c r="A34" s="270" t="e">
        <f>#REF!</f>
        <v>#REF!</v>
      </c>
      <c r="B34" s="255">
        <v>36.167769999999997</v>
      </c>
      <c r="C34" s="255">
        <v>28.588450000000002</v>
      </c>
      <c r="D34" s="255">
        <v>35.243780000000001</v>
      </c>
      <c r="E34" s="255">
        <v>45.871000000000002</v>
      </c>
      <c r="F34" s="255">
        <v>26.84</v>
      </c>
      <c r="G34" s="255">
        <v>27.29</v>
      </c>
      <c r="H34" s="255">
        <v>96.772999999999996</v>
      </c>
      <c r="I34" s="255">
        <v>3.2280000000000002</v>
      </c>
      <c r="J34" s="255">
        <v>0</v>
      </c>
      <c r="K34" s="255">
        <v>6.3319999999999999</v>
      </c>
      <c r="L34" s="255">
        <v>0</v>
      </c>
      <c r="M34" s="255">
        <v>2.2389999999999999</v>
      </c>
      <c r="N34" s="255">
        <v>3.0049999999999999</v>
      </c>
      <c r="O34" s="255">
        <v>0.54900000000000004</v>
      </c>
      <c r="P34" s="255">
        <v>0</v>
      </c>
      <c r="Q34" s="255">
        <v>12.86</v>
      </c>
      <c r="R34" s="255">
        <v>0</v>
      </c>
      <c r="S34" s="255">
        <v>41.097000000000001</v>
      </c>
      <c r="T34" s="255">
        <v>9.0410000000000004</v>
      </c>
      <c r="U34" s="255">
        <v>24.878</v>
      </c>
      <c r="V34" s="255">
        <v>2.7735400000000001</v>
      </c>
      <c r="W34" s="255">
        <v>4.8306100000000001</v>
      </c>
      <c r="X34" s="255">
        <v>3.4208599999999998</v>
      </c>
      <c r="Y34" s="255">
        <v>17.761379999999999</v>
      </c>
      <c r="Z34" s="255">
        <v>1.9815</v>
      </c>
      <c r="AA34" s="255">
        <v>8.4947599999999994</v>
      </c>
      <c r="AB34" s="255">
        <v>1.6950499999999999</v>
      </c>
      <c r="AC34" s="255">
        <v>9.3055500000000002</v>
      </c>
      <c r="AD34" s="255">
        <v>12.61286</v>
      </c>
      <c r="AE34" s="255">
        <v>28.278320000000001</v>
      </c>
      <c r="AF34" s="255">
        <v>8.8455700000000004</v>
      </c>
      <c r="AG34" s="264">
        <v>0</v>
      </c>
      <c r="AH34" s="264">
        <v>0</v>
      </c>
      <c r="AI34" s="264">
        <v>0</v>
      </c>
      <c r="AJ34" s="264">
        <v>0</v>
      </c>
      <c r="AK34" s="264">
        <v>0</v>
      </c>
      <c r="AL34" s="264">
        <v>0</v>
      </c>
      <c r="AM34" s="264">
        <v>0</v>
      </c>
      <c r="AN34" s="262">
        <f t="shared" si="14"/>
        <v>0</v>
      </c>
      <c r="AO34" s="262">
        <f t="shared" si="10"/>
        <v>6.3319999999999999</v>
      </c>
      <c r="AP34" s="262">
        <f t="shared" si="11"/>
        <v>5.2439999999999998</v>
      </c>
      <c r="AQ34" s="262">
        <f t="shared" si="12"/>
        <v>12.86</v>
      </c>
      <c r="AR34" s="262">
        <f t="shared" si="13"/>
        <v>75.564999999999998</v>
      </c>
    </row>
    <row r="35" spans="1:44" ht="12" x14ac:dyDescent="0.15">
      <c r="A35" s="270" t="e">
        <f>#REF!</f>
        <v>#REF!</v>
      </c>
      <c r="B35" s="255">
        <v>46.658830000000002</v>
      </c>
      <c r="C35" s="255">
        <v>2.0219299999999998</v>
      </c>
      <c r="D35" s="255">
        <v>51.319229999999997</v>
      </c>
      <c r="E35" s="255">
        <v>28.004999999999999</v>
      </c>
      <c r="F35" s="255">
        <v>32.664999999999999</v>
      </c>
      <c r="G35" s="255">
        <v>39.33</v>
      </c>
      <c r="H35" s="255">
        <v>85.122</v>
      </c>
      <c r="I35" s="255">
        <v>14.878</v>
      </c>
      <c r="J35" s="255">
        <v>0</v>
      </c>
      <c r="K35" s="255">
        <v>0</v>
      </c>
      <c r="L35" s="255">
        <v>4.6749999999999998</v>
      </c>
      <c r="M35" s="255">
        <v>0</v>
      </c>
      <c r="N35" s="255">
        <v>4.5919999999999996</v>
      </c>
      <c r="O35" s="255">
        <v>0</v>
      </c>
      <c r="P35" s="255">
        <v>0</v>
      </c>
      <c r="Q35" s="255">
        <v>36.773000000000003</v>
      </c>
      <c r="R35" s="255">
        <v>0</v>
      </c>
      <c r="S35" s="255">
        <v>35.792999999999999</v>
      </c>
      <c r="T35" s="255">
        <v>12.032999999999999</v>
      </c>
      <c r="U35" s="255">
        <v>6.1340000000000003</v>
      </c>
      <c r="V35" s="255">
        <v>4.6749000000000001</v>
      </c>
      <c r="W35" s="255">
        <v>7.1662400000000002</v>
      </c>
      <c r="X35" s="255">
        <v>20.946549999999998</v>
      </c>
      <c r="Y35" s="255">
        <v>2.0219299999999998</v>
      </c>
      <c r="Z35" s="255">
        <v>0</v>
      </c>
      <c r="AA35" s="255">
        <v>9.5035799999999995</v>
      </c>
      <c r="AB35" s="255">
        <v>1.77413</v>
      </c>
      <c r="AC35" s="255">
        <v>30.506250000000001</v>
      </c>
      <c r="AD35" s="255">
        <v>4.14316</v>
      </c>
      <c r="AE35" s="255">
        <v>19.263249999999999</v>
      </c>
      <c r="AF35" s="255">
        <v>0</v>
      </c>
      <c r="AG35" s="264">
        <v>0</v>
      </c>
      <c r="AH35" s="264">
        <v>0</v>
      </c>
      <c r="AI35" s="264">
        <v>0</v>
      </c>
      <c r="AJ35" s="264">
        <v>0</v>
      </c>
      <c r="AK35" s="264">
        <v>0</v>
      </c>
      <c r="AL35" s="264">
        <v>0</v>
      </c>
      <c r="AM35" s="264">
        <v>0</v>
      </c>
      <c r="AN35" s="262">
        <f t="shared" si="14"/>
        <v>0</v>
      </c>
      <c r="AO35" s="262">
        <f t="shared" si="10"/>
        <v>4.6749999999999998</v>
      </c>
      <c r="AP35" s="262">
        <f t="shared" si="11"/>
        <v>4.5919999999999996</v>
      </c>
      <c r="AQ35" s="262">
        <f t="shared" si="12"/>
        <v>36.773000000000003</v>
      </c>
      <c r="AR35" s="262">
        <f t="shared" si="13"/>
        <v>53.96</v>
      </c>
    </row>
    <row r="36" spans="1:44" ht="12" x14ac:dyDescent="0.15">
      <c r="A36" s="270" t="e">
        <f>#REF!</f>
        <v>#REF!</v>
      </c>
      <c r="B36" s="255">
        <v>22.722905000000001</v>
      </c>
      <c r="C36" s="255">
        <v>50.795515000000002</v>
      </c>
      <c r="D36" s="255">
        <v>26.481580000000001</v>
      </c>
      <c r="E36" s="255">
        <v>33.518419000000002</v>
      </c>
      <c r="F36" s="255">
        <v>66.481579999999994</v>
      </c>
      <c r="G36" s="255">
        <v>0</v>
      </c>
      <c r="H36" s="255">
        <v>75.333689000000007</v>
      </c>
      <c r="I36" s="255">
        <v>21.462893000000001</v>
      </c>
      <c r="J36" s="255">
        <v>3.203417</v>
      </c>
      <c r="K36" s="255">
        <v>73.646556000000004</v>
      </c>
      <c r="L36" s="255">
        <v>0</v>
      </c>
      <c r="M36" s="255">
        <v>9.3539779999999997</v>
      </c>
      <c r="N36" s="255">
        <v>16.999466000000002</v>
      </c>
      <c r="O36" s="255">
        <v>0</v>
      </c>
      <c r="P36" s="255">
        <v>0</v>
      </c>
      <c r="Q36" s="255">
        <v>0</v>
      </c>
      <c r="R36" s="255">
        <v>0</v>
      </c>
      <c r="S36" s="255">
        <v>0</v>
      </c>
      <c r="T36" s="255">
        <v>0</v>
      </c>
      <c r="U36" s="255">
        <v>0</v>
      </c>
      <c r="V36" s="255">
        <v>0</v>
      </c>
      <c r="W36" s="255">
        <v>4.2925789999999999</v>
      </c>
      <c r="X36" s="255">
        <v>13.689268999999999</v>
      </c>
      <c r="Y36" s="255">
        <v>23.075279999999999</v>
      </c>
      <c r="Z36" s="255">
        <v>27.720234999999999</v>
      </c>
      <c r="AA36" s="255">
        <v>3.0646019999999998</v>
      </c>
      <c r="AB36" s="255">
        <v>0</v>
      </c>
      <c r="AC36" s="255">
        <v>19.124399</v>
      </c>
      <c r="AD36" s="255">
        <v>0</v>
      </c>
      <c r="AE36" s="255">
        <v>9.0336359999999996</v>
      </c>
      <c r="AF36" s="255">
        <v>0</v>
      </c>
      <c r="AG36" s="264">
        <v>4.0199999999999996</v>
      </c>
      <c r="AH36" s="264">
        <v>0</v>
      </c>
      <c r="AI36" s="264">
        <v>0</v>
      </c>
      <c r="AJ36" s="264">
        <v>0</v>
      </c>
      <c r="AK36" s="264">
        <v>4.3600000000000003</v>
      </c>
      <c r="AL36" s="264">
        <v>0</v>
      </c>
      <c r="AM36" s="264">
        <v>0</v>
      </c>
      <c r="AN36" s="262">
        <f t="shared" si="14"/>
        <v>8.379999999999999</v>
      </c>
      <c r="AO36" s="262">
        <f t="shared" si="10"/>
        <v>73.646556000000004</v>
      </c>
      <c r="AP36" s="262">
        <f t="shared" si="11"/>
        <v>26.353444000000003</v>
      </c>
      <c r="AQ36" s="262">
        <f t="shared" si="12"/>
        <v>0</v>
      </c>
      <c r="AR36" s="262">
        <f t="shared" si="13"/>
        <v>0</v>
      </c>
    </row>
    <row r="37" spans="1:44" ht="12" x14ac:dyDescent="0.15">
      <c r="A37" s="270" t="e">
        <f>#REF!</f>
        <v>#REF!</v>
      </c>
      <c r="B37" s="255">
        <v>0</v>
      </c>
      <c r="C37" s="255">
        <v>18.311360000000001</v>
      </c>
      <c r="D37" s="255">
        <v>81.688640000000007</v>
      </c>
      <c r="E37" s="255">
        <v>6.2850000000000001</v>
      </c>
      <c r="F37" s="255">
        <v>22.050999999999998</v>
      </c>
      <c r="G37" s="255">
        <v>71.662999999999997</v>
      </c>
      <c r="H37" s="255">
        <v>23.437000000000001</v>
      </c>
      <c r="I37" s="255">
        <v>53.639000000000003</v>
      </c>
      <c r="J37" s="255">
        <v>22.922999999999998</v>
      </c>
      <c r="K37" s="255">
        <v>79.471000000000004</v>
      </c>
      <c r="L37" s="255">
        <v>10.666</v>
      </c>
      <c r="M37" s="255">
        <v>4.4770000000000003</v>
      </c>
      <c r="N37" s="255">
        <v>5.0880000000000001</v>
      </c>
      <c r="O37" s="255">
        <v>0</v>
      </c>
      <c r="P37" s="255">
        <v>0</v>
      </c>
      <c r="Q37" s="255">
        <v>0</v>
      </c>
      <c r="R37" s="255">
        <v>0</v>
      </c>
      <c r="S37" s="255">
        <v>0.29799999999999999</v>
      </c>
      <c r="T37" s="255">
        <v>0</v>
      </c>
      <c r="U37" s="255">
        <v>0</v>
      </c>
      <c r="V37" s="255">
        <v>0</v>
      </c>
      <c r="W37" s="255">
        <v>0</v>
      </c>
      <c r="X37" s="255">
        <v>0</v>
      </c>
      <c r="Y37" s="255">
        <v>0</v>
      </c>
      <c r="Z37" s="255">
        <v>0</v>
      </c>
      <c r="AA37" s="255">
        <v>4.3040000000000003</v>
      </c>
      <c r="AB37" s="255">
        <v>0</v>
      </c>
      <c r="AC37" s="255">
        <v>0.31130000000000002</v>
      </c>
      <c r="AD37" s="255">
        <v>77.073340000000002</v>
      </c>
      <c r="AE37" s="255">
        <v>0</v>
      </c>
      <c r="AF37" s="255">
        <v>18.311360000000001</v>
      </c>
      <c r="AG37" s="264">
        <v>0</v>
      </c>
      <c r="AH37" s="264">
        <v>0</v>
      </c>
      <c r="AI37" s="264">
        <v>0</v>
      </c>
      <c r="AJ37" s="264">
        <v>0</v>
      </c>
      <c r="AK37" s="264">
        <v>0</v>
      </c>
      <c r="AL37" s="264">
        <v>0</v>
      </c>
      <c r="AM37" s="264">
        <v>0</v>
      </c>
      <c r="AN37" s="262">
        <f t="shared" si="14"/>
        <v>0</v>
      </c>
      <c r="AO37" s="262">
        <f t="shared" si="10"/>
        <v>90.137</v>
      </c>
      <c r="AP37" s="262">
        <f t="shared" si="11"/>
        <v>9.5650000000000013</v>
      </c>
      <c r="AQ37" s="262">
        <f t="shared" si="12"/>
        <v>0</v>
      </c>
      <c r="AR37" s="262">
        <f t="shared" si="13"/>
        <v>0.29799999999999999</v>
      </c>
    </row>
    <row r="38" spans="1:44" ht="12" x14ac:dyDescent="0.15">
      <c r="A38" s="270" t="e">
        <f>#REF!</f>
        <v>#REF!</v>
      </c>
      <c r="B38" s="255">
        <v>32.37818</v>
      </c>
      <c r="C38" s="255">
        <v>16.67174</v>
      </c>
      <c r="D38" s="255">
        <v>50.950069999999997</v>
      </c>
      <c r="E38" s="255">
        <v>26.832000000000001</v>
      </c>
      <c r="F38" s="255">
        <v>44.509</v>
      </c>
      <c r="G38" s="255">
        <v>28.658999999999999</v>
      </c>
      <c r="H38" s="255">
        <v>83.590999999999994</v>
      </c>
      <c r="I38" s="255">
        <v>15.904999999999999</v>
      </c>
      <c r="J38" s="255">
        <v>0.504</v>
      </c>
      <c r="K38" s="255">
        <v>64.766000000000005</v>
      </c>
      <c r="L38" s="255">
        <v>2.9729999999999999</v>
      </c>
      <c r="M38" s="255">
        <v>3.1339999999999999</v>
      </c>
      <c r="N38" s="255">
        <v>11.077999999999999</v>
      </c>
      <c r="O38" s="255">
        <v>0.20899999999999999</v>
      </c>
      <c r="P38" s="255">
        <v>4.7709999999999999</v>
      </c>
      <c r="Q38" s="255">
        <v>4.319</v>
      </c>
      <c r="R38" s="255">
        <v>1.4770000000000001</v>
      </c>
      <c r="S38" s="255">
        <v>5.2009999999999996</v>
      </c>
      <c r="T38" s="255">
        <v>1.226</v>
      </c>
      <c r="U38" s="255">
        <v>0.84699999999999998</v>
      </c>
      <c r="V38" s="255">
        <v>3.4272499999999999</v>
      </c>
      <c r="W38" s="255">
        <v>9.0657399999999999</v>
      </c>
      <c r="X38" s="255">
        <v>10.227359999999999</v>
      </c>
      <c r="Y38" s="255">
        <v>5.2737999999999996</v>
      </c>
      <c r="Z38" s="255">
        <v>8.7965699999999991</v>
      </c>
      <c r="AA38" s="255">
        <v>10.22508</v>
      </c>
      <c r="AB38" s="255">
        <v>1.86978</v>
      </c>
      <c r="AC38" s="255">
        <v>28.238779999999998</v>
      </c>
      <c r="AD38" s="255">
        <v>3.4204699999999999</v>
      </c>
      <c r="AE38" s="255">
        <v>16.85379</v>
      </c>
      <c r="AF38" s="255">
        <v>2.6013700000000002</v>
      </c>
      <c r="AG38" s="264">
        <v>2.85</v>
      </c>
      <c r="AH38" s="264">
        <v>2.31</v>
      </c>
      <c r="AI38" s="264">
        <v>4.1000000000000005</v>
      </c>
      <c r="AJ38" s="264">
        <v>1.71</v>
      </c>
      <c r="AK38" s="264">
        <v>4.04</v>
      </c>
      <c r="AL38" s="264">
        <v>5</v>
      </c>
      <c r="AM38" s="264">
        <v>1.34</v>
      </c>
      <c r="AN38" s="262">
        <f>SUM(AG38:AM38)</f>
        <v>21.35</v>
      </c>
      <c r="AO38" s="262">
        <f t="shared" si="10"/>
        <v>67.739000000000004</v>
      </c>
      <c r="AP38" s="262">
        <f t="shared" si="11"/>
        <v>14.212</v>
      </c>
      <c r="AQ38" s="262">
        <f t="shared" si="12"/>
        <v>10.567</v>
      </c>
      <c r="AR38" s="262">
        <f t="shared" si="13"/>
        <v>7.4829999999999988</v>
      </c>
    </row>
    <row r="39" spans="1:44" x14ac:dyDescent="0.15">
      <c r="A39" s="270" t="e">
        <f>#REF!</f>
        <v>#REF!</v>
      </c>
      <c r="AG39" s="255"/>
      <c r="AH39" s="255"/>
      <c r="AI39" s="255"/>
      <c r="AJ39" s="255"/>
      <c r="AK39" s="255"/>
      <c r="AL39" s="255"/>
      <c r="AM39" s="255"/>
    </row>
    <row r="40" spans="1:44" x14ac:dyDescent="0.15">
      <c r="A40" s="270" t="e">
        <f>#REF!</f>
        <v>#REF!</v>
      </c>
      <c r="AG40" s="255"/>
      <c r="AH40" s="255"/>
      <c r="AI40" s="255"/>
      <c r="AJ40" s="255"/>
      <c r="AK40" s="255"/>
      <c r="AL40" s="255"/>
      <c r="AM40" s="255"/>
    </row>
    <row r="41" spans="1:44" x14ac:dyDescent="0.15">
      <c r="A41" s="270" t="e">
        <f>#REF!</f>
        <v>#REF!</v>
      </c>
      <c r="AG41" s="255"/>
      <c r="AH41" s="255"/>
      <c r="AI41" s="255"/>
      <c r="AJ41" s="255"/>
      <c r="AK41" s="255"/>
      <c r="AL41" s="255"/>
      <c r="AM41" s="255"/>
    </row>
    <row r="42" spans="1:44" x14ac:dyDescent="0.15">
      <c r="A42" s="270" t="e">
        <f>#REF!</f>
        <v>#REF!</v>
      </c>
      <c r="AG42" s="255"/>
      <c r="AH42" s="255"/>
      <c r="AI42" s="255"/>
      <c r="AJ42" s="255"/>
      <c r="AK42" s="255"/>
      <c r="AL42" s="255"/>
      <c r="AM42" s="255"/>
    </row>
    <row r="43" spans="1:44" x14ac:dyDescent="0.15">
      <c r="AG43" s="255"/>
      <c r="AH43" s="255"/>
      <c r="AI43" s="255"/>
      <c r="AJ43" s="255"/>
      <c r="AK43" s="255"/>
      <c r="AL43" s="255"/>
      <c r="AM43" s="255"/>
    </row>
    <row r="44" spans="1:44" x14ac:dyDescent="0.15">
      <c r="AG44" s="255"/>
      <c r="AH44" s="255"/>
      <c r="AI44" s="255"/>
      <c r="AJ44" s="255"/>
      <c r="AK44" s="255"/>
      <c r="AL44" s="255"/>
      <c r="AM44" s="255"/>
    </row>
    <row r="45" spans="1:44" x14ac:dyDescent="0.15">
      <c r="AG45" s="255"/>
      <c r="AH45" s="255"/>
      <c r="AI45" s="255"/>
      <c r="AJ45" s="255"/>
      <c r="AK45" s="255"/>
      <c r="AL45" s="255"/>
      <c r="AM45" s="255"/>
    </row>
    <row r="46" spans="1:44" x14ac:dyDescent="0.15">
      <c r="AG46" s="255"/>
      <c r="AH46" s="255"/>
      <c r="AI46" s="255"/>
      <c r="AJ46" s="255"/>
      <c r="AK46" s="255"/>
      <c r="AL46" s="255"/>
      <c r="AM46" s="255"/>
    </row>
    <row r="47" spans="1:44" x14ac:dyDescent="0.15">
      <c r="AG47" s="255"/>
      <c r="AH47" s="255"/>
      <c r="AI47" s="255"/>
      <c r="AJ47" s="255"/>
      <c r="AK47" s="255"/>
      <c r="AL47" s="255"/>
      <c r="AM47" s="255"/>
    </row>
    <row r="48" spans="1:44" x14ac:dyDescent="0.15">
      <c r="AG48" s="255"/>
      <c r="AH48" s="255"/>
      <c r="AI48" s="255"/>
      <c r="AJ48" s="255"/>
      <c r="AK48" s="255"/>
      <c r="AL48" s="255"/>
      <c r="AM48" s="255"/>
    </row>
    <row r="49" spans="33:39" x14ac:dyDescent="0.15">
      <c r="AG49" s="255"/>
      <c r="AH49" s="255"/>
      <c r="AI49" s="255"/>
      <c r="AJ49" s="255"/>
      <c r="AK49" s="255"/>
      <c r="AL49" s="255"/>
      <c r="AM49" s="255"/>
    </row>
    <row r="50" spans="33:39" x14ac:dyDescent="0.15">
      <c r="AG50" s="255"/>
      <c r="AH50" s="255"/>
      <c r="AI50" s="255"/>
      <c r="AJ50" s="255"/>
      <c r="AK50" s="255"/>
      <c r="AL50" s="255"/>
      <c r="AM50" s="255"/>
    </row>
    <row r="51" spans="33:39" x14ac:dyDescent="0.15">
      <c r="AG51" s="255"/>
      <c r="AH51" s="255"/>
      <c r="AI51" s="255"/>
      <c r="AJ51" s="255"/>
      <c r="AK51" s="255"/>
      <c r="AL51" s="255"/>
      <c r="AM51" s="255"/>
    </row>
    <row r="52" spans="33:39" x14ac:dyDescent="0.15">
      <c r="AG52" s="255"/>
      <c r="AH52" s="255"/>
      <c r="AI52" s="255"/>
      <c r="AJ52" s="255"/>
      <c r="AK52" s="255"/>
      <c r="AL52" s="255"/>
      <c r="AM52" s="255"/>
    </row>
    <row r="53" spans="33:39" x14ac:dyDescent="0.15">
      <c r="AG53" s="255"/>
      <c r="AH53" s="255"/>
      <c r="AI53" s="255"/>
      <c r="AJ53" s="255"/>
      <c r="AK53" s="255"/>
      <c r="AL53" s="255"/>
      <c r="AM53" s="255"/>
    </row>
    <row r="54" spans="33:39" x14ac:dyDescent="0.15">
      <c r="AG54" s="255"/>
      <c r="AH54" s="255"/>
      <c r="AI54" s="255"/>
      <c r="AJ54" s="255"/>
      <c r="AK54" s="255"/>
      <c r="AL54" s="255"/>
      <c r="AM54" s="255"/>
    </row>
    <row r="55" spans="33:39" x14ac:dyDescent="0.15">
      <c r="AG55" s="255"/>
      <c r="AH55" s="255"/>
      <c r="AI55" s="255"/>
      <c r="AJ55" s="255"/>
      <c r="AK55" s="255"/>
      <c r="AL55" s="255"/>
      <c r="AM55" s="255"/>
    </row>
    <row r="56" spans="33:39" x14ac:dyDescent="0.15">
      <c r="AG56" s="255"/>
      <c r="AH56" s="255"/>
      <c r="AI56" s="255"/>
      <c r="AJ56" s="255"/>
      <c r="AK56" s="255"/>
      <c r="AL56" s="255"/>
      <c r="AM56" s="255"/>
    </row>
    <row r="57" spans="33:39" x14ac:dyDescent="0.15">
      <c r="AG57" s="255"/>
      <c r="AH57" s="255"/>
      <c r="AI57" s="255"/>
      <c r="AJ57" s="255"/>
      <c r="AK57" s="255"/>
      <c r="AL57" s="255"/>
      <c r="AM57" s="255"/>
    </row>
    <row r="58" spans="33:39" x14ac:dyDescent="0.15">
      <c r="AG58" s="255"/>
      <c r="AH58" s="255"/>
      <c r="AI58" s="255"/>
      <c r="AJ58" s="255"/>
      <c r="AK58" s="255"/>
      <c r="AL58" s="255"/>
      <c r="AM58" s="255"/>
    </row>
    <row r="59" spans="33:39" x14ac:dyDescent="0.15">
      <c r="AH59" s="255"/>
      <c r="AI59" s="255"/>
      <c r="AJ59" s="255"/>
      <c r="AK59" s="255"/>
      <c r="AL59" s="255"/>
      <c r="AM59" s="255"/>
    </row>
    <row r="60" spans="33:39" x14ac:dyDescent="0.15">
      <c r="AH60" s="255"/>
      <c r="AI60" s="255"/>
      <c r="AJ60" s="255"/>
      <c r="AK60" s="255"/>
      <c r="AL60" s="255"/>
      <c r="AM60" s="255"/>
    </row>
    <row r="61" spans="33:39" x14ac:dyDescent="0.15">
      <c r="AH61" s="255"/>
      <c r="AI61" s="255"/>
      <c r="AJ61" s="255"/>
      <c r="AK61" s="255"/>
      <c r="AL61" s="255"/>
      <c r="AM61" s="255"/>
    </row>
    <row r="62" spans="33:39" x14ac:dyDescent="0.15">
      <c r="AH62" s="255"/>
      <c r="AI62" s="255"/>
      <c r="AJ62" s="255"/>
      <c r="AK62" s="255"/>
      <c r="AL62" s="255"/>
      <c r="AM62" s="255"/>
    </row>
    <row r="63" spans="33:39" x14ac:dyDescent="0.15">
      <c r="AH63" s="255"/>
      <c r="AI63" s="255"/>
      <c r="AJ63" s="255"/>
      <c r="AK63" s="255"/>
      <c r="AL63" s="255"/>
      <c r="AM63" s="255"/>
    </row>
    <row r="64" spans="33:39" x14ac:dyDescent="0.15">
      <c r="AH64" s="255"/>
      <c r="AI64" s="255"/>
      <c r="AJ64" s="255"/>
      <c r="AK64" s="255"/>
      <c r="AL64" s="255"/>
      <c r="AM64" s="255"/>
    </row>
    <row r="65" spans="34:39" x14ac:dyDescent="0.15">
      <c r="AH65" s="255"/>
      <c r="AI65" s="255"/>
      <c r="AJ65" s="255"/>
      <c r="AK65" s="255"/>
      <c r="AL65" s="255"/>
      <c r="AM65" s="255"/>
    </row>
    <row r="66" spans="34:39" x14ac:dyDescent="0.15">
      <c r="AH66" s="255"/>
      <c r="AI66" s="255"/>
      <c r="AJ66" s="255"/>
      <c r="AK66" s="255"/>
      <c r="AL66" s="255"/>
      <c r="AM66" s="255"/>
    </row>
    <row r="67" spans="34:39" x14ac:dyDescent="0.15">
      <c r="AH67" s="255"/>
      <c r="AI67" s="255"/>
      <c r="AJ67" s="255"/>
      <c r="AK67" s="255"/>
      <c r="AL67" s="255"/>
      <c r="AM67" s="255"/>
    </row>
    <row r="68" spans="34:39" x14ac:dyDescent="0.15">
      <c r="AH68" s="255"/>
      <c r="AI68" s="255"/>
      <c r="AJ68" s="255"/>
      <c r="AK68" s="255"/>
      <c r="AL68" s="255"/>
      <c r="AM68" s="255"/>
    </row>
    <row r="69" spans="34:39" x14ac:dyDescent="0.15">
      <c r="AH69" s="255"/>
      <c r="AI69" s="255"/>
      <c r="AJ69" s="255"/>
      <c r="AK69" s="255"/>
      <c r="AL69" s="255"/>
      <c r="AM69" s="255"/>
    </row>
    <row r="70" spans="34:39" x14ac:dyDescent="0.15">
      <c r="AH70" s="255"/>
      <c r="AI70" s="255"/>
      <c r="AJ70" s="255"/>
      <c r="AK70" s="255"/>
      <c r="AL70" s="255"/>
      <c r="AM70" s="255"/>
    </row>
    <row r="71" spans="34:39" x14ac:dyDescent="0.15">
      <c r="AH71" s="255"/>
      <c r="AI71" s="255"/>
      <c r="AJ71" s="255"/>
      <c r="AK71" s="255"/>
      <c r="AL71" s="255"/>
      <c r="AM71" s="255"/>
    </row>
    <row r="72" spans="34:39" x14ac:dyDescent="0.15">
      <c r="AH72" s="255"/>
      <c r="AI72" s="255"/>
      <c r="AJ72" s="255"/>
      <c r="AK72" s="255"/>
      <c r="AL72" s="255"/>
      <c r="AM72" s="255"/>
    </row>
  </sheetData>
  <pageMargins left="0.75" right="0.75" top="0.75" bottom="0.75" header="0.5" footer="0.5"/>
  <pageSetup pageOrder="overThenDown" orientation="landscape" horizontalDpi="1200" verticalDpi="1200" r:id="rId1"/>
  <headerFooter>
    <oddHeader>&amp;L&amp;"Verdana,Bold"&amp;6 Impact Funds&amp;"Verdana,Regular"&amp;6  | Release Date &amp;D | &amp;P of &amp;N</oddHeader>
    <oddFooter>&amp;L&amp;"MORN Intrinsic,Bold"&amp;12 ß&amp;"Verdana,Regular"&amp;5©2025 Morningstar.All Rights Reserved. All Data and information is gathered from accurate sources but is not warranted to be correct, complete, or accurate.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33E61-BEF8-4711-A993-CB88AFB936EC}">
  <dimension ref="A1:AQ69"/>
  <sheetViews>
    <sheetView showGridLines="0" zoomScaleNormal="100" workbookViewId="0">
      <selection activeCell="C25" sqref="C25"/>
    </sheetView>
  </sheetViews>
  <sheetFormatPr baseColWidth="10" defaultColWidth="9" defaultRowHeight="11" x14ac:dyDescent="0.15"/>
  <cols>
    <col min="1" max="1" width="6.6640625" style="233" bestFit="1" customWidth="1"/>
    <col min="2" max="2" width="11.6640625" style="187" customWidth="1"/>
    <col min="3" max="3" width="32.1640625" style="187" bestFit="1" customWidth="1"/>
    <col min="4" max="7" width="6.33203125" style="187" customWidth="1"/>
    <col min="8" max="8" width="6.83203125" style="187" customWidth="1"/>
    <col min="9" max="9" width="1.1640625" style="187" customWidth="1"/>
    <col min="10" max="10" width="6.1640625" style="244" bestFit="1" customWidth="1"/>
    <col min="11" max="11" width="13.1640625" style="187" customWidth="1"/>
    <col min="12" max="12" width="32.1640625" style="187" bestFit="1" customWidth="1"/>
    <col min="13" max="17" width="6.1640625" style="187" customWidth="1"/>
    <col min="18" max="18" width="0.6640625" style="187" customWidth="1"/>
    <col min="19" max="19" width="6.1640625" style="244" bestFit="1" customWidth="1"/>
    <col min="20" max="20" width="13.6640625" style="187" customWidth="1"/>
    <col min="21" max="21" width="32.1640625" style="187" bestFit="1" customWidth="1"/>
    <col min="22" max="26" width="7.33203125" style="187" customWidth="1"/>
    <col min="27" max="27" width="0.83203125" style="187" customWidth="1"/>
    <col min="28" max="28" width="6.1640625" style="242" bestFit="1" customWidth="1"/>
    <col min="29" max="29" width="13.6640625" style="187" customWidth="1"/>
    <col min="30" max="30" width="32.1640625" style="187" bestFit="1" customWidth="1"/>
    <col min="31" max="35" width="6.6640625" style="187" customWidth="1"/>
    <col min="36" max="36" width="1.33203125" style="187" customWidth="1"/>
    <col min="37" max="37" width="6.1640625" style="252" bestFit="1" customWidth="1"/>
    <col min="38" max="16384" width="9" style="187"/>
  </cols>
  <sheetData>
    <row r="1" spans="1:43" x14ac:dyDescent="0.15">
      <c r="AK1" s="244"/>
    </row>
    <row r="2" spans="1:43" x14ac:dyDescent="0.15">
      <c r="D2" s="181" t="s">
        <v>445</v>
      </c>
      <c r="E2" s="253">
        <v>0</v>
      </c>
      <c r="G2" s="182" t="s">
        <v>446</v>
      </c>
      <c r="H2" s="254">
        <v>0.01</v>
      </c>
      <c r="J2" s="242"/>
      <c r="M2" s="183" t="s">
        <v>445</v>
      </c>
      <c r="N2" s="253">
        <v>0</v>
      </c>
      <c r="P2" s="184" t="s">
        <v>446</v>
      </c>
      <c r="Q2" s="254">
        <v>0.01</v>
      </c>
      <c r="S2" s="242"/>
      <c r="V2" s="183" t="s">
        <v>445</v>
      </c>
      <c r="W2" s="253">
        <v>0</v>
      </c>
      <c r="Y2" s="184" t="s">
        <v>446</v>
      </c>
      <c r="Z2" s="254">
        <v>0.01</v>
      </c>
      <c r="AE2" s="183" t="s">
        <v>445</v>
      </c>
      <c r="AF2" s="253">
        <v>0</v>
      </c>
      <c r="AH2" s="184" t="s">
        <v>446</v>
      </c>
      <c r="AI2" s="254">
        <v>0.01</v>
      </c>
      <c r="AK2" s="242"/>
    </row>
    <row r="3" spans="1:43" x14ac:dyDescent="0.15">
      <c r="A3" s="234"/>
      <c r="D3" s="183" t="s">
        <v>447</v>
      </c>
      <c r="E3" s="253">
        <v>0</v>
      </c>
      <c r="G3" s="183" t="s">
        <v>448</v>
      </c>
      <c r="H3" s="254">
        <v>0</v>
      </c>
      <c r="J3" s="242"/>
      <c r="M3" s="183" t="s">
        <v>447</v>
      </c>
      <c r="N3" s="253">
        <v>0</v>
      </c>
      <c r="P3" s="183" t="s">
        <v>448</v>
      </c>
      <c r="Q3" s="254">
        <v>0</v>
      </c>
      <c r="S3" s="242"/>
      <c r="V3" s="183" t="s">
        <v>447</v>
      </c>
      <c r="W3" s="253">
        <v>0</v>
      </c>
      <c r="Y3" s="183" t="s">
        <v>448</v>
      </c>
      <c r="Z3" s="254">
        <v>0</v>
      </c>
      <c r="AE3" s="183" t="s">
        <v>447</v>
      </c>
      <c r="AF3" s="253">
        <v>0</v>
      </c>
      <c r="AH3" s="183" t="s">
        <v>448</v>
      </c>
      <c r="AI3" s="254">
        <v>0</v>
      </c>
      <c r="AK3" s="242"/>
    </row>
    <row r="4" spans="1:43" x14ac:dyDescent="0.15">
      <c r="A4" s="234"/>
      <c r="J4" s="242"/>
      <c r="M4" s="183"/>
      <c r="N4" s="185"/>
      <c r="P4" s="183"/>
      <c r="Q4" s="186"/>
      <c r="S4" s="242"/>
      <c r="V4" s="183"/>
      <c r="W4" s="185"/>
      <c r="Y4" s="183"/>
      <c r="Z4" s="186"/>
      <c r="AE4" s="183"/>
      <c r="AF4" s="185"/>
      <c r="AH4" s="183"/>
      <c r="AI4" s="186"/>
      <c r="AK4" s="242"/>
    </row>
    <row r="5" spans="1:43" x14ac:dyDescent="0.15">
      <c r="A5" s="235"/>
      <c r="J5" s="245"/>
      <c r="S5" s="245"/>
      <c r="AB5" s="245"/>
      <c r="AK5" s="245"/>
    </row>
    <row r="6" spans="1:43" s="275" customFormat="1" ht="12.75" customHeight="1" x14ac:dyDescent="0.15">
      <c r="A6" s="233"/>
      <c r="B6" s="271" t="s">
        <v>1</v>
      </c>
      <c r="C6" s="272"/>
      <c r="D6" s="273" t="s">
        <v>441</v>
      </c>
      <c r="E6" s="273" t="s">
        <v>442</v>
      </c>
      <c r="F6" s="274" t="s">
        <v>349</v>
      </c>
      <c r="G6" s="273" t="s">
        <v>443</v>
      </c>
      <c r="H6" s="273" t="s">
        <v>444</v>
      </c>
      <c r="J6" s="242"/>
      <c r="K6" s="271" t="s">
        <v>5</v>
      </c>
      <c r="L6" s="272"/>
      <c r="M6" s="273" t="s">
        <v>441</v>
      </c>
      <c r="N6" s="273" t="s">
        <v>442</v>
      </c>
      <c r="O6" s="274" t="s">
        <v>349</v>
      </c>
      <c r="P6" s="273" t="s">
        <v>443</v>
      </c>
      <c r="Q6" s="273" t="s">
        <v>444</v>
      </c>
      <c r="S6" s="242"/>
      <c r="T6" s="271" t="s">
        <v>352</v>
      </c>
      <c r="U6" s="272"/>
      <c r="V6" s="273" t="s">
        <v>441</v>
      </c>
      <c r="W6" s="273" t="s">
        <v>442</v>
      </c>
      <c r="X6" s="274" t="s">
        <v>349</v>
      </c>
      <c r="Y6" s="273" t="s">
        <v>443</v>
      </c>
      <c r="Z6" s="273" t="s">
        <v>444</v>
      </c>
      <c r="AB6" s="242"/>
      <c r="AC6" s="271" t="s">
        <v>353</v>
      </c>
      <c r="AD6" s="272"/>
      <c r="AE6" s="273" t="s">
        <v>441</v>
      </c>
      <c r="AF6" s="273" t="s">
        <v>442</v>
      </c>
      <c r="AG6" s="274" t="s">
        <v>349</v>
      </c>
      <c r="AH6" s="273" t="s">
        <v>443</v>
      </c>
      <c r="AI6" s="273" t="s">
        <v>444</v>
      </c>
      <c r="AK6" s="242"/>
    </row>
    <row r="7" spans="1:43" x14ac:dyDescent="0.15">
      <c r="B7" s="188" t="s">
        <v>6</v>
      </c>
      <c r="C7" s="189"/>
      <c r="D7" s="190">
        <f>1-D30-D20-D12-$E$3-$H$3</f>
        <v>0.44999999999999996</v>
      </c>
      <c r="E7" s="190">
        <f>1-E30-E20-E12-$E$3-$H$3</f>
        <v>0.35</v>
      </c>
      <c r="F7" s="190">
        <f>1-F30-F20-F12-$E$3-$H$3</f>
        <v>0.25</v>
      </c>
      <c r="G7" s="190">
        <f>1-G30-G20-G12-$E$3-$H$3</f>
        <v>0.15000000000000005</v>
      </c>
      <c r="H7" s="190">
        <f>1-H30-H20-H12-$E$3-$H$3</f>
        <v>4.9999999999999961E-2</v>
      </c>
      <c r="J7" s="242"/>
      <c r="K7" s="188" t="s">
        <v>6</v>
      </c>
      <c r="L7" s="189"/>
      <c r="M7" s="190">
        <f>1-M30-M20-M12-$N$3-$Q$3</f>
        <v>0.44999999999999996</v>
      </c>
      <c r="N7" s="190">
        <f>1-N30-N20-N12-$N$3-$Q$3</f>
        <v>0.35</v>
      </c>
      <c r="O7" s="190">
        <f>1-O30-O20-O12-$N$3-$Q$3</f>
        <v>0.25</v>
      </c>
      <c r="P7" s="190">
        <f>1-P30-P20-P12-$N$3-$Q$3</f>
        <v>0.15000000000000005</v>
      </c>
      <c r="Q7" s="190">
        <f>1-Q30-Q20-Q12-$N$3-$Q$3</f>
        <v>9.999999999999995E-2</v>
      </c>
      <c r="S7" s="242"/>
      <c r="T7" s="188" t="s">
        <v>6</v>
      </c>
      <c r="U7" s="189"/>
      <c r="V7" s="190">
        <f>1-V30-V20-V12-$W$3-$Z$3</f>
        <v>0.44999999999999996</v>
      </c>
      <c r="W7" s="190">
        <f>1-W30-W20-W12-$W$3-$Z$3</f>
        <v>0.35</v>
      </c>
      <c r="X7" s="190">
        <f>1-X30-X20-X12-$W$3-$Z$3</f>
        <v>0.25</v>
      </c>
      <c r="Y7" s="190">
        <f>1-Y30-Y20-Y12-$W$3-$Z$3</f>
        <v>0.15000000000000005</v>
      </c>
      <c r="Z7" s="190">
        <f>1-Z30-Z20-Z12-$W$3-$Z$3</f>
        <v>9.999999999999995E-2</v>
      </c>
      <c r="AC7" s="188" t="s">
        <v>6</v>
      </c>
      <c r="AD7" s="189"/>
      <c r="AE7" s="190">
        <f>1-AE30-AE20-AE12-$AF$3-$AI$3</f>
        <v>0.5</v>
      </c>
      <c r="AF7" s="190">
        <f>1-AF30-AF20-AF12-$AF$3-$AI$3</f>
        <v>0.4</v>
      </c>
      <c r="AG7" s="190">
        <f>1-AG30-AG20-AG12-$AF$3-$AI$3</f>
        <v>0.30000000000000004</v>
      </c>
      <c r="AH7" s="190">
        <f>1-AH30-AH20-AH12-$AF$3-$AI$3</f>
        <v>0.20000000000000004</v>
      </c>
      <c r="AI7" s="190">
        <f>1-AI30-AI20-AI12-$AF$3-$AI$3</f>
        <v>9.999999999999995E-2</v>
      </c>
      <c r="AK7" s="242"/>
    </row>
    <row r="8" spans="1:43" x14ac:dyDescent="0.15">
      <c r="A8" s="237"/>
      <c r="B8" s="191" t="s">
        <v>7</v>
      </c>
      <c r="C8" s="276" t="s">
        <v>69</v>
      </c>
      <c r="D8" s="193">
        <f>$H$2</f>
        <v>0.01</v>
      </c>
      <c r="E8" s="193">
        <f>$H$2</f>
        <v>0.01</v>
      </c>
      <c r="F8" s="193">
        <f>$H$2</f>
        <v>0.01</v>
      </c>
      <c r="G8" s="193">
        <f>$H$2</f>
        <v>0.01</v>
      </c>
      <c r="H8" s="193">
        <f>$H$2</f>
        <v>0.01</v>
      </c>
      <c r="J8" s="242"/>
      <c r="K8" s="191" t="s">
        <v>7</v>
      </c>
      <c r="L8" s="276" t="s">
        <v>69</v>
      </c>
      <c r="M8" s="193">
        <f>$Q$2</f>
        <v>0.01</v>
      </c>
      <c r="N8" s="193">
        <f t="shared" ref="N8:Q8" si="0">$Q$2</f>
        <v>0.01</v>
      </c>
      <c r="O8" s="193">
        <f t="shared" si="0"/>
        <v>0.01</v>
      </c>
      <c r="P8" s="193">
        <f t="shared" si="0"/>
        <v>0.01</v>
      </c>
      <c r="Q8" s="193">
        <f t="shared" si="0"/>
        <v>0.01</v>
      </c>
      <c r="S8" s="242"/>
      <c r="T8" s="191" t="s">
        <v>7</v>
      </c>
      <c r="U8" s="276" t="s">
        <v>69</v>
      </c>
      <c r="V8" s="193">
        <f>$Z$2</f>
        <v>0.01</v>
      </c>
      <c r="W8" s="193">
        <f t="shared" ref="W8:Z8" si="1">$Z$2</f>
        <v>0.01</v>
      </c>
      <c r="X8" s="193">
        <f t="shared" si="1"/>
        <v>0.01</v>
      </c>
      <c r="Y8" s="193">
        <f>$Z$2</f>
        <v>0.01</v>
      </c>
      <c r="Z8" s="193">
        <f t="shared" si="1"/>
        <v>0.01</v>
      </c>
      <c r="AC8" s="191" t="s">
        <v>7</v>
      </c>
      <c r="AD8" s="276" t="s">
        <v>69</v>
      </c>
      <c r="AE8" s="193">
        <f>$AI$2</f>
        <v>0.01</v>
      </c>
      <c r="AF8" s="193">
        <f>$AI$2</f>
        <v>0.01</v>
      </c>
      <c r="AG8" s="193">
        <f t="shared" ref="AG8:AI8" si="2">$AI$2</f>
        <v>0.01</v>
      </c>
      <c r="AH8" s="193">
        <f t="shared" si="2"/>
        <v>0.01</v>
      </c>
      <c r="AI8" s="193">
        <f t="shared" si="2"/>
        <v>0.01</v>
      </c>
      <c r="AK8" s="242"/>
    </row>
    <row r="9" spans="1:43" x14ac:dyDescent="0.15">
      <c r="A9" s="233">
        <v>0.5</v>
      </c>
      <c r="B9" s="191" t="s">
        <v>10</v>
      </c>
      <c r="C9" s="277" t="s">
        <v>70</v>
      </c>
      <c r="D9" s="194">
        <f>(D7-D8)*$A9</f>
        <v>0.21999999999999997</v>
      </c>
      <c r="E9" s="194">
        <f t="shared" ref="E9:H9" si="3">(E7-E8)*$A9</f>
        <v>0.16999999999999998</v>
      </c>
      <c r="F9" s="194">
        <f t="shared" si="3"/>
        <v>0.12</v>
      </c>
      <c r="G9" s="194">
        <f t="shared" si="3"/>
        <v>7.0000000000000021E-2</v>
      </c>
      <c r="H9" s="194">
        <f t="shared" si="3"/>
        <v>1.999999999999998E-2</v>
      </c>
      <c r="J9" s="233">
        <v>0.5</v>
      </c>
      <c r="K9" s="191" t="s">
        <v>10</v>
      </c>
      <c r="L9" s="277" t="s">
        <v>70</v>
      </c>
      <c r="M9" s="194">
        <f>(M7-M8)*$J9</f>
        <v>0.21999999999999997</v>
      </c>
      <c r="N9" s="194">
        <f t="shared" ref="N9:Q9" si="4">(N7-N8)*$J9</f>
        <v>0.16999999999999998</v>
      </c>
      <c r="O9" s="194">
        <f t="shared" si="4"/>
        <v>0.12</v>
      </c>
      <c r="P9" s="194">
        <f t="shared" si="4"/>
        <v>7.0000000000000021E-2</v>
      </c>
      <c r="Q9" s="194">
        <f t="shared" si="4"/>
        <v>4.4999999999999978E-2</v>
      </c>
      <c r="S9" s="233">
        <v>0.5</v>
      </c>
      <c r="T9" s="191" t="s">
        <v>10</v>
      </c>
      <c r="U9" s="277" t="s">
        <v>70</v>
      </c>
      <c r="V9" s="194">
        <f>(V7-V8)*$S9</f>
        <v>0.21999999999999997</v>
      </c>
      <c r="W9" s="194">
        <f t="shared" ref="W9:Z9" si="5">(W7-W8)*$S9</f>
        <v>0.16999999999999998</v>
      </c>
      <c r="X9" s="194">
        <f t="shared" si="5"/>
        <v>0.12</v>
      </c>
      <c r="Y9" s="194">
        <f t="shared" si="5"/>
        <v>7.0000000000000021E-2</v>
      </c>
      <c r="Z9" s="194">
        <f t="shared" si="5"/>
        <v>4.4999999999999978E-2</v>
      </c>
      <c r="AB9" s="233">
        <v>0.5</v>
      </c>
      <c r="AC9" s="191" t="s">
        <v>10</v>
      </c>
      <c r="AD9" s="277" t="s">
        <v>70</v>
      </c>
      <c r="AE9" s="194">
        <f>(AE7-AE8)*$AB9</f>
        <v>0.245</v>
      </c>
      <c r="AF9" s="194">
        <f t="shared" ref="AF9:AI9" si="6">(AF7-AF8)*$AB9</f>
        <v>0.19500000000000001</v>
      </c>
      <c r="AG9" s="194">
        <f t="shared" si="6"/>
        <v>0.14500000000000002</v>
      </c>
      <c r="AH9" s="194">
        <f t="shared" si="6"/>
        <v>9.5000000000000015E-2</v>
      </c>
      <c r="AI9" s="194">
        <f t="shared" si="6"/>
        <v>4.4999999999999978E-2</v>
      </c>
      <c r="AK9" s="242"/>
    </row>
    <row r="10" spans="1:43" x14ac:dyDescent="0.15">
      <c r="A10" s="233">
        <v>0.5</v>
      </c>
      <c r="B10" s="191"/>
      <c r="C10" s="278" t="s">
        <v>71</v>
      </c>
      <c r="D10" s="194">
        <f>(D7-D8)*$A10</f>
        <v>0.21999999999999997</v>
      </c>
      <c r="E10" s="194">
        <f t="shared" ref="E10:H10" si="7">(E7-E8)*$A10</f>
        <v>0.16999999999999998</v>
      </c>
      <c r="F10" s="194">
        <f t="shared" si="7"/>
        <v>0.12</v>
      </c>
      <c r="G10" s="194">
        <f t="shared" si="7"/>
        <v>7.0000000000000021E-2</v>
      </c>
      <c r="H10" s="194">
        <f t="shared" si="7"/>
        <v>1.999999999999998E-2</v>
      </c>
      <c r="J10" s="233">
        <v>0.5</v>
      </c>
      <c r="K10" s="191"/>
      <c r="L10" s="278" t="s">
        <v>71</v>
      </c>
      <c r="M10" s="194">
        <f>(M7-M8)*$J10</f>
        <v>0.21999999999999997</v>
      </c>
      <c r="N10" s="194">
        <f t="shared" ref="N10:Q10" si="8">(N7-N8)*$J10</f>
        <v>0.16999999999999998</v>
      </c>
      <c r="O10" s="194">
        <f t="shared" si="8"/>
        <v>0.12</v>
      </c>
      <c r="P10" s="194">
        <f t="shared" si="8"/>
        <v>7.0000000000000021E-2</v>
      </c>
      <c r="Q10" s="194">
        <f t="shared" si="8"/>
        <v>4.4999999999999978E-2</v>
      </c>
      <c r="S10" s="233">
        <v>0.5</v>
      </c>
      <c r="T10" s="191"/>
      <c r="U10" s="278" t="s">
        <v>71</v>
      </c>
      <c r="V10" s="194">
        <f>(V7-V8)*$S10</f>
        <v>0.21999999999999997</v>
      </c>
      <c r="W10" s="194">
        <f t="shared" ref="W10:Z10" si="9">(W7-W8)*$S10</f>
        <v>0.16999999999999998</v>
      </c>
      <c r="X10" s="194">
        <f t="shared" si="9"/>
        <v>0.12</v>
      </c>
      <c r="Y10" s="194">
        <f t="shared" si="9"/>
        <v>7.0000000000000021E-2</v>
      </c>
      <c r="Z10" s="194">
        <f t="shared" si="9"/>
        <v>4.4999999999999978E-2</v>
      </c>
      <c r="AB10" s="233">
        <v>0.5</v>
      </c>
      <c r="AC10" s="191"/>
      <c r="AD10" s="278" t="s">
        <v>71</v>
      </c>
      <c r="AE10" s="194">
        <f>(AE7-AE8)*$AB10</f>
        <v>0.245</v>
      </c>
      <c r="AF10" s="194">
        <f t="shared" ref="AF10:AI10" si="10">(AF7-AF8)*$AB10</f>
        <v>0.19500000000000001</v>
      </c>
      <c r="AG10" s="194">
        <f t="shared" si="10"/>
        <v>0.14500000000000002</v>
      </c>
      <c r="AH10" s="194">
        <f t="shared" si="10"/>
        <v>9.5000000000000015E-2</v>
      </c>
      <c r="AI10" s="194">
        <f t="shared" si="10"/>
        <v>4.4999999999999978E-2</v>
      </c>
      <c r="AK10" s="242"/>
    </row>
    <row r="11" spans="1:43" x14ac:dyDescent="0.15">
      <c r="B11" s="191"/>
      <c r="C11" s="192"/>
      <c r="D11" s="194"/>
      <c r="E11" s="194"/>
      <c r="F11" s="194"/>
      <c r="G11" s="194"/>
      <c r="H11" s="194"/>
      <c r="J11" s="242"/>
      <c r="K11" s="191"/>
      <c r="L11" s="192"/>
      <c r="M11" s="194"/>
      <c r="N11" s="194"/>
      <c r="O11" s="194"/>
      <c r="P11" s="194"/>
      <c r="Q11" s="194"/>
      <c r="S11" s="242"/>
      <c r="T11" s="191"/>
      <c r="U11" s="192"/>
      <c r="V11" s="194"/>
      <c r="W11" s="194"/>
      <c r="X11" s="194"/>
      <c r="Y11" s="194"/>
      <c r="Z11" s="194"/>
      <c r="AC11" s="191"/>
      <c r="AD11" s="192"/>
      <c r="AE11" s="194"/>
      <c r="AF11" s="194"/>
      <c r="AG11" s="194"/>
      <c r="AH11" s="194"/>
      <c r="AI11" s="194"/>
      <c r="AK11" s="242"/>
    </row>
    <row r="12" spans="1:43" x14ac:dyDescent="0.15">
      <c r="B12" s="195" t="s">
        <v>14</v>
      </c>
      <c r="C12" s="196"/>
      <c r="D12" s="197">
        <v>0.15</v>
      </c>
      <c r="E12" s="197">
        <v>0.15</v>
      </c>
      <c r="F12" s="197">
        <v>0.15</v>
      </c>
      <c r="G12" s="197">
        <v>0.15</v>
      </c>
      <c r="H12" s="197">
        <v>0.15</v>
      </c>
      <c r="J12" s="242"/>
      <c r="K12" s="195" t="s">
        <v>14</v>
      </c>
      <c r="L12" s="196"/>
      <c r="M12" s="197">
        <v>0.15</v>
      </c>
      <c r="N12" s="197">
        <v>0.15</v>
      </c>
      <c r="O12" s="197">
        <v>0.15</v>
      </c>
      <c r="P12" s="197">
        <v>0.15</v>
      </c>
      <c r="Q12" s="197">
        <v>0.1</v>
      </c>
      <c r="R12" s="197">
        <v>0.15</v>
      </c>
      <c r="S12" s="242"/>
      <c r="T12" s="195" t="s">
        <v>14</v>
      </c>
      <c r="U12" s="196"/>
      <c r="V12" s="197">
        <v>0.15</v>
      </c>
      <c r="W12" s="197">
        <v>0.15</v>
      </c>
      <c r="X12" s="197">
        <v>0.15</v>
      </c>
      <c r="Y12" s="197">
        <v>0.15</v>
      </c>
      <c r="Z12" s="197">
        <v>0.1</v>
      </c>
      <c r="AC12" s="195" t="s">
        <v>14</v>
      </c>
      <c r="AD12" s="196"/>
      <c r="AE12" s="197">
        <v>0.1</v>
      </c>
      <c r="AF12" s="197">
        <v>0.1</v>
      </c>
      <c r="AG12" s="197">
        <v>0.1</v>
      </c>
      <c r="AH12" s="197">
        <v>0.1</v>
      </c>
      <c r="AI12" s="197">
        <v>0.1</v>
      </c>
      <c r="AK12" s="242"/>
    </row>
    <row r="13" spans="1:43" x14ac:dyDescent="0.15">
      <c r="A13" s="233">
        <v>0.2</v>
      </c>
      <c r="B13" s="191" t="s">
        <v>17</v>
      </c>
      <c r="C13" s="199" t="s">
        <v>73</v>
      </c>
      <c r="D13" s="198">
        <f t="shared" ref="D13:H17" si="11">$A13*D$12</f>
        <v>0.03</v>
      </c>
      <c r="E13" s="198">
        <f t="shared" si="11"/>
        <v>0.03</v>
      </c>
      <c r="F13" s="198">
        <f>$A13*F$12</f>
        <v>0.03</v>
      </c>
      <c r="G13" s="198">
        <f t="shared" ref="G13:H13" si="12">$A13*G$12</f>
        <v>0.03</v>
      </c>
      <c r="H13" s="198">
        <f t="shared" si="12"/>
        <v>0.03</v>
      </c>
      <c r="J13" s="242">
        <v>0.3</v>
      </c>
      <c r="K13" s="191" t="s">
        <v>17</v>
      </c>
      <c r="L13" s="199" t="s">
        <v>73</v>
      </c>
      <c r="M13" s="198">
        <f>$J13*M$12</f>
        <v>4.4999999999999998E-2</v>
      </c>
      <c r="N13" s="198">
        <f t="shared" ref="N13:Q13" si="13">$J13*N$12</f>
        <v>4.4999999999999998E-2</v>
      </c>
      <c r="O13" s="198">
        <f t="shared" si="13"/>
        <v>4.4999999999999998E-2</v>
      </c>
      <c r="P13" s="198">
        <f t="shared" si="13"/>
        <v>4.4999999999999998E-2</v>
      </c>
      <c r="Q13" s="198">
        <f t="shared" si="13"/>
        <v>0.03</v>
      </c>
      <c r="S13" s="242">
        <v>0.4</v>
      </c>
      <c r="T13" s="191" t="s">
        <v>17</v>
      </c>
      <c r="U13" s="199" t="s">
        <v>73</v>
      </c>
      <c r="V13" s="198">
        <f>$S13*V$12</f>
        <v>0.06</v>
      </c>
      <c r="W13" s="198">
        <f t="shared" ref="W13:Z13" si="14">$S13*W$12</f>
        <v>0.06</v>
      </c>
      <c r="X13" s="198">
        <f t="shared" si="14"/>
        <v>0.06</v>
      </c>
      <c r="Y13" s="198">
        <f t="shared" si="14"/>
        <v>0.06</v>
      </c>
      <c r="Z13" s="198">
        <f t="shared" si="14"/>
        <v>4.0000000000000008E-2</v>
      </c>
      <c r="AB13" s="242">
        <v>0</v>
      </c>
      <c r="AC13" s="191"/>
      <c r="AD13" s="199"/>
      <c r="AE13" s="198">
        <f>$AB13*AE$12</f>
        <v>0</v>
      </c>
      <c r="AF13" s="198">
        <f t="shared" ref="AF13:AI13" si="15">$AB13*AF$12</f>
        <v>0</v>
      </c>
      <c r="AG13" s="198">
        <f t="shared" si="15"/>
        <v>0</v>
      </c>
      <c r="AH13" s="198">
        <f t="shared" si="15"/>
        <v>0</v>
      </c>
      <c r="AI13" s="198">
        <f t="shared" si="15"/>
        <v>0</v>
      </c>
      <c r="AK13" s="242"/>
    </row>
    <row r="14" spans="1:43" x14ac:dyDescent="0.15">
      <c r="A14" s="233">
        <v>0.3</v>
      </c>
      <c r="B14" s="191"/>
      <c r="C14" s="203" t="s">
        <v>19</v>
      </c>
      <c r="D14" s="198">
        <f t="shared" si="11"/>
        <v>4.4999999999999998E-2</v>
      </c>
      <c r="E14" s="198">
        <f t="shared" si="11"/>
        <v>4.4999999999999998E-2</v>
      </c>
      <c r="F14" s="198">
        <f t="shared" si="11"/>
        <v>4.4999999999999998E-2</v>
      </c>
      <c r="G14" s="198">
        <f t="shared" si="11"/>
        <v>4.4999999999999998E-2</v>
      </c>
      <c r="H14" s="198">
        <f t="shared" si="11"/>
        <v>4.4999999999999998E-2</v>
      </c>
      <c r="J14" s="242">
        <v>0</v>
      </c>
      <c r="K14" s="191"/>
      <c r="L14" s="199"/>
      <c r="M14" s="198">
        <f t="shared" ref="M14:Q18" si="16">$J14*M$12</f>
        <v>0</v>
      </c>
      <c r="N14" s="198">
        <f t="shared" si="16"/>
        <v>0</v>
      </c>
      <c r="O14" s="198">
        <f t="shared" si="16"/>
        <v>0</v>
      </c>
      <c r="P14" s="198">
        <f t="shared" si="16"/>
        <v>0</v>
      </c>
      <c r="Q14" s="198">
        <f t="shared" si="16"/>
        <v>0</v>
      </c>
      <c r="S14" s="242">
        <v>0</v>
      </c>
      <c r="T14" s="191"/>
      <c r="U14" s="199"/>
      <c r="V14" s="198">
        <f t="shared" ref="V14:Z18" si="17">$S14*V$12</f>
        <v>0</v>
      </c>
      <c r="W14" s="198">
        <f t="shared" si="17"/>
        <v>0</v>
      </c>
      <c r="X14" s="198">
        <f t="shared" si="17"/>
        <v>0</v>
      </c>
      <c r="Y14" s="198">
        <f t="shared" si="17"/>
        <v>0</v>
      </c>
      <c r="Z14" s="198">
        <f t="shared" si="17"/>
        <v>0</v>
      </c>
      <c r="AB14" s="242">
        <v>0</v>
      </c>
      <c r="AC14" s="191"/>
      <c r="AD14" s="199"/>
      <c r="AE14" s="198">
        <f t="shared" ref="AE14:AI18" si="18">$AB14*AE$12</f>
        <v>0</v>
      </c>
      <c r="AF14" s="198">
        <f t="shared" si="18"/>
        <v>0</v>
      </c>
      <c r="AG14" s="198">
        <f t="shared" si="18"/>
        <v>0</v>
      </c>
      <c r="AH14" s="198">
        <f t="shared" si="18"/>
        <v>0</v>
      </c>
      <c r="AI14" s="198">
        <f t="shared" si="18"/>
        <v>0</v>
      </c>
      <c r="AK14" s="242"/>
    </row>
    <row r="15" spans="1:43" ht="12" x14ac:dyDescent="0.15">
      <c r="A15" s="233">
        <v>0</v>
      </c>
      <c r="B15" s="191" t="s">
        <v>20</v>
      </c>
      <c r="C15" s="199" t="s">
        <v>75</v>
      </c>
      <c r="D15" s="198">
        <f t="shared" si="11"/>
        <v>0</v>
      </c>
      <c r="E15" s="198">
        <f t="shared" si="11"/>
        <v>0</v>
      </c>
      <c r="F15" s="198">
        <f t="shared" si="11"/>
        <v>0</v>
      </c>
      <c r="G15" s="198">
        <f t="shared" si="11"/>
        <v>0</v>
      </c>
      <c r="H15" s="198">
        <f t="shared" si="11"/>
        <v>0</v>
      </c>
      <c r="J15" s="242">
        <v>0</v>
      </c>
      <c r="K15" s="191" t="s">
        <v>20</v>
      </c>
      <c r="L15" s="199" t="s">
        <v>75</v>
      </c>
      <c r="M15" s="198">
        <f t="shared" si="16"/>
        <v>0</v>
      </c>
      <c r="N15" s="198">
        <f t="shared" si="16"/>
        <v>0</v>
      </c>
      <c r="O15" s="198">
        <f t="shared" si="16"/>
        <v>0</v>
      </c>
      <c r="P15" s="198">
        <f t="shared" si="16"/>
        <v>0</v>
      </c>
      <c r="Q15" s="198">
        <f t="shared" si="16"/>
        <v>0</v>
      </c>
      <c r="S15" s="242">
        <v>0</v>
      </c>
      <c r="T15" s="191" t="s">
        <v>20</v>
      </c>
      <c r="U15" s="199" t="s">
        <v>75</v>
      </c>
      <c r="V15" s="198">
        <f t="shared" si="17"/>
        <v>0</v>
      </c>
      <c r="W15" s="198">
        <f t="shared" si="17"/>
        <v>0</v>
      </c>
      <c r="X15" s="198">
        <f t="shared" si="17"/>
        <v>0</v>
      </c>
      <c r="Y15" s="198">
        <f t="shared" si="17"/>
        <v>0</v>
      </c>
      <c r="Z15" s="198">
        <f t="shared" si="17"/>
        <v>0</v>
      </c>
      <c r="AB15" s="242">
        <v>0</v>
      </c>
      <c r="AC15" s="191" t="s">
        <v>20</v>
      </c>
      <c r="AD15" s="199" t="s">
        <v>75</v>
      </c>
      <c r="AE15" s="198">
        <f t="shared" si="18"/>
        <v>0</v>
      </c>
      <c r="AF15" s="198">
        <f t="shared" si="18"/>
        <v>0</v>
      </c>
      <c r="AG15" s="198">
        <f t="shared" si="18"/>
        <v>0</v>
      </c>
      <c r="AH15" s="198">
        <f t="shared" si="18"/>
        <v>0</v>
      </c>
      <c r="AI15" s="198">
        <f t="shared" si="18"/>
        <v>0</v>
      </c>
      <c r="AK15" s="242"/>
      <c r="AM15" s="12"/>
      <c r="AN15" s="12"/>
      <c r="AO15" s="12"/>
      <c r="AP15" s="37"/>
      <c r="AQ15" s="281"/>
    </row>
    <row r="16" spans="1:43" ht="12" x14ac:dyDescent="0.15">
      <c r="A16" s="233">
        <v>0.3</v>
      </c>
      <c r="B16" s="191"/>
      <c r="C16" s="279" t="s">
        <v>89</v>
      </c>
      <c r="D16" s="198">
        <f t="shared" si="11"/>
        <v>4.4999999999999998E-2</v>
      </c>
      <c r="E16" s="198">
        <f t="shared" si="11"/>
        <v>4.4999999999999998E-2</v>
      </c>
      <c r="F16" s="198">
        <f t="shared" si="11"/>
        <v>4.4999999999999998E-2</v>
      </c>
      <c r="G16" s="198">
        <f t="shared" si="11"/>
        <v>4.4999999999999998E-2</v>
      </c>
      <c r="H16" s="198">
        <f t="shared" si="11"/>
        <v>4.4999999999999998E-2</v>
      </c>
      <c r="J16" s="242">
        <v>0.3</v>
      </c>
      <c r="K16" s="191"/>
      <c r="L16" s="279" t="s">
        <v>22</v>
      </c>
      <c r="M16" s="198">
        <f>$J16*M$12</f>
        <v>4.4999999999999998E-2</v>
      </c>
      <c r="N16" s="198">
        <f t="shared" si="16"/>
        <v>4.4999999999999998E-2</v>
      </c>
      <c r="O16" s="198">
        <f t="shared" si="16"/>
        <v>4.4999999999999998E-2</v>
      </c>
      <c r="P16" s="198">
        <f t="shared" si="16"/>
        <v>4.4999999999999998E-2</v>
      </c>
      <c r="Q16" s="198">
        <f t="shared" si="16"/>
        <v>0.03</v>
      </c>
      <c r="S16" s="242">
        <v>0</v>
      </c>
      <c r="U16" s="199"/>
      <c r="V16" s="198">
        <f t="shared" si="17"/>
        <v>0</v>
      </c>
      <c r="W16" s="198">
        <f t="shared" si="17"/>
        <v>0</v>
      </c>
      <c r="X16" s="198">
        <f t="shared" si="17"/>
        <v>0</v>
      </c>
      <c r="Y16" s="198">
        <f t="shared" si="17"/>
        <v>0</v>
      </c>
      <c r="Z16" s="198">
        <f t="shared" si="17"/>
        <v>0</v>
      </c>
      <c r="AB16" s="242">
        <v>0.5</v>
      </c>
      <c r="AD16" s="199" t="s">
        <v>22</v>
      </c>
      <c r="AE16" s="198">
        <f t="shared" si="18"/>
        <v>0.05</v>
      </c>
      <c r="AF16" s="198">
        <f t="shared" si="18"/>
        <v>0.05</v>
      </c>
      <c r="AG16" s="198">
        <f t="shared" si="18"/>
        <v>0.05</v>
      </c>
      <c r="AH16" s="198">
        <f t="shared" si="18"/>
        <v>0.05</v>
      </c>
      <c r="AI16" s="198">
        <f t="shared" si="18"/>
        <v>0.05</v>
      </c>
      <c r="AK16" s="242"/>
      <c r="AM16" s="12"/>
      <c r="AN16" s="12"/>
      <c r="AO16" s="12"/>
      <c r="AP16" s="37"/>
      <c r="AQ16" s="281"/>
    </row>
    <row r="17" spans="1:43" ht="12" x14ac:dyDescent="0.15">
      <c r="A17" s="233">
        <v>0.2</v>
      </c>
      <c r="B17" s="191"/>
      <c r="C17" s="279" t="s">
        <v>82</v>
      </c>
      <c r="D17" s="198">
        <f t="shared" si="11"/>
        <v>0.03</v>
      </c>
      <c r="E17" s="198">
        <f t="shared" si="11"/>
        <v>0.03</v>
      </c>
      <c r="F17" s="198">
        <f t="shared" si="11"/>
        <v>0.03</v>
      </c>
      <c r="G17" s="198">
        <f t="shared" si="11"/>
        <v>0.03</v>
      </c>
      <c r="H17" s="198">
        <f t="shared" si="11"/>
        <v>0.03</v>
      </c>
      <c r="J17" s="242">
        <v>0.2</v>
      </c>
      <c r="K17" s="191" t="s">
        <v>81</v>
      </c>
      <c r="L17" s="279" t="s">
        <v>82</v>
      </c>
      <c r="M17" s="198">
        <f t="shared" si="16"/>
        <v>0.03</v>
      </c>
      <c r="N17" s="198">
        <f t="shared" si="16"/>
        <v>0.03</v>
      </c>
      <c r="O17" s="198">
        <f t="shared" si="16"/>
        <v>0.03</v>
      </c>
      <c r="P17" s="198">
        <f t="shared" si="16"/>
        <v>0.03</v>
      </c>
      <c r="Q17" s="198">
        <f t="shared" si="16"/>
        <v>2.0000000000000004E-2</v>
      </c>
      <c r="S17" s="242">
        <v>0.3</v>
      </c>
      <c r="T17" s="191" t="s">
        <v>81</v>
      </c>
      <c r="U17" s="279" t="s">
        <v>82</v>
      </c>
      <c r="V17" s="198">
        <f t="shared" si="17"/>
        <v>4.4999999999999998E-2</v>
      </c>
      <c r="W17" s="198">
        <f t="shared" si="17"/>
        <v>4.4999999999999998E-2</v>
      </c>
      <c r="X17" s="198">
        <f t="shared" si="17"/>
        <v>4.4999999999999998E-2</v>
      </c>
      <c r="Y17" s="198">
        <f t="shared" si="17"/>
        <v>4.4999999999999998E-2</v>
      </c>
      <c r="Z17" s="198">
        <f t="shared" si="17"/>
        <v>0.03</v>
      </c>
      <c r="AB17" s="242">
        <v>0.5</v>
      </c>
      <c r="AC17" s="191" t="s">
        <v>81</v>
      </c>
      <c r="AD17" s="279" t="s">
        <v>82</v>
      </c>
      <c r="AE17" s="198">
        <f t="shared" si="18"/>
        <v>0.05</v>
      </c>
      <c r="AF17" s="198">
        <f t="shared" si="18"/>
        <v>0.05</v>
      </c>
      <c r="AG17" s="198">
        <f t="shared" si="18"/>
        <v>0.05</v>
      </c>
      <c r="AH17" s="198">
        <f t="shared" si="18"/>
        <v>0.05</v>
      </c>
      <c r="AI17" s="198">
        <f t="shared" si="18"/>
        <v>0.05</v>
      </c>
      <c r="AK17" s="242"/>
      <c r="AM17" s="12"/>
      <c r="AN17" s="12"/>
      <c r="AO17" s="12"/>
      <c r="AP17" s="37"/>
      <c r="AQ17" s="281"/>
    </row>
    <row r="18" spans="1:43" ht="12" x14ac:dyDescent="0.15">
      <c r="B18" s="191"/>
      <c r="C18" s="231"/>
      <c r="D18" s="198"/>
      <c r="E18" s="198"/>
      <c r="F18" s="198"/>
      <c r="G18" s="198"/>
      <c r="H18" s="198"/>
      <c r="J18" s="242">
        <v>0.2</v>
      </c>
      <c r="K18" s="191" t="s">
        <v>23</v>
      </c>
      <c r="L18" s="280" t="s">
        <v>24</v>
      </c>
      <c r="M18" s="198">
        <f t="shared" si="16"/>
        <v>0.03</v>
      </c>
      <c r="N18" s="198">
        <f t="shared" si="16"/>
        <v>0.03</v>
      </c>
      <c r="O18" s="198">
        <f t="shared" si="16"/>
        <v>0.03</v>
      </c>
      <c r="P18" s="198">
        <f t="shared" si="16"/>
        <v>0.03</v>
      </c>
      <c r="Q18" s="198">
        <f t="shared" si="16"/>
        <v>2.0000000000000004E-2</v>
      </c>
      <c r="S18" s="242">
        <v>0.3</v>
      </c>
      <c r="T18" s="191" t="s">
        <v>23</v>
      </c>
      <c r="U18" s="280" t="s">
        <v>24</v>
      </c>
      <c r="V18" s="198">
        <f t="shared" si="17"/>
        <v>4.4999999999999998E-2</v>
      </c>
      <c r="W18" s="198">
        <f t="shared" si="17"/>
        <v>4.4999999999999998E-2</v>
      </c>
      <c r="X18" s="198">
        <f t="shared" si="17"/>
        <v>4.4999999999999998E-2</v>
      </c>
      <c r="Y18" s="198">
        <f t="shared" si="17"/>
        <v>4.4999999999999998E-2</v>
      </c>
      <c r="Z18" s="198">
        <f t="shared" si="17"/>
        <v>0.03</v>
      </c>
      <c r="AB18" s="242">
        <v>0</v>
      </c>
      <c r="AC18" s="191"/>
      <c r="AD18" s="199"/>
      <c r="AE18" s="198">
        <f t="shared" si="18"/>
        <v>0</v>
      </c>
      <c r="AF18" s="198">
        <f t="shared" si="18"/>
        <v>0</v>
      </c>
      <c r="AG18" s="198">
        <f t="shared" si="18"/>
        <v>0</v>
      </c>
      <c r="AH18" s="198">
        <f t="shared" si="18"/>
        <v>0</v>
      </c>
      <c r="AI18" s="198">
        <f t="shared" si="18"/>
        <v>0</v>
      </c>
      <c r="AK18" s="242"/>
      <c r="AM18" s="12"/>
      <c r="AN18" s="12"/>
      <c r="AO18" s="12"/>
      <c r="AP18" s="37"/>
      <c r="AQ18" s="281"/>
    </row>
    <row r="19" spans="1:43" ht="12" x14ac:dyDescent="0.15">
      <c r="B19" s="191"/>
      <c r="C19" s="231"/>
      <c r="D19" s="198"/>
      <c r="E19" s="198"/>
      <c r="F19" s="198"/>
      <c r="G19" s="198"/>
      <c r="H19" s="198"/>
      <c r="J19" s="242"/>
      <c r="K19" s="191"/>
      <c r="L19" s="231"/>
      <c r="M19" s="198"/>
      <c r="N19" s="198"/>
      <c r="O19" s="198"/>
      <c r="P19" s="198"/>
      <c r="Q19" s="198"/>
      <c r="S19" s="242"/>
      <c r="T19" s="191"/>
      <c r="U19" s="231"/>
      <c r="V19" s="198"/>
      <c r="W19" s="198"/>
      <c r="X19" s="198"/>
      <c r="Y19" s="198"/>
      <c r="Z19" s="198"/>
      <c r="AC19" s="191"/>
      <c r="AD19" s="231"/>
      <c r="AE19" s="198"/>
      <c r="AF19" s="198"/>
      <c r="AG19" s="198"/>
      <c r="AH19" s="198"/>
      <c r="AI19" s="198"/>
      <c r="AK19" s="242"/>
      <c r="AM19" s="12"/>
      <c r="AN19" s="12"/>
      <c r="AO19" s="12"/>
      <c r="AP19" s="37"/>
      <c r="AQ19" s="281"/>
    </row>
    <row r="20" spans="1:43" ht="12" x14ac:dyDescent="0.15">
      <c r="B20" s="200" t="s">
        <v>25</v>
      </c>
      <c r="C20" s="201"/>
      <c r="D20" s="202">
        <f>40%-$E$2-$H$3</f>
        <v>0.4</v>
      </c>
      <c r="E20" s="202">
        <f>50%-$E$2-$H$3</f>
        <v>0.5</v>
      </c>
      <c r="F20" s="202">
        <f>60%-$E$2-$H$3</f>
        <v>0.6</v>
      </c>
      <c r="G20" s="202">
        <f>70%-$E$2-$H$3</f>
        <v>0.7</v>
      </c>
      <c r="H20" s="202">
        <f>80%-$E$2-$H$3</f>
        <v>0.8</v>
      </c>
      <c r="J20" s="242"/>
      <c r="K20" s="200" t="s">
        <v>25</v>
      </c>
      <c r="L20" s="201"/>
      <c r="M20" s="202">
        <f>40%-$N$2-$Q$3</f>
        <v>0.4</v>
      </c>
      <c r="N20" s="202">
        <f>50%-$N$2-$Q$3</f>
        <v>0.5</v>
      </c>
      <c r="O20" s="202">
        <f>60%-$N$2-$Q$3</f>
        <v>0.6</v>
      </c>
      <c r="P20" s="202">
        <f>70%-$N$2-$Q$3</f>
        <v>0.7</v>
      </c>
      <c r="Q20" s="202">
        <f>80%-$N$2-$Q$3</f>
        <v>0.8</v>
      </c>
      <c r="S20" s="242"/>
      <c r="T20" s="200" t="s">
        <v>25</v>
      </c>
      <c r="U20" s="201"/>
      <c r="V20" s="202">
        <f>40%-$W$2-$Z$3</f>
        <v>0.4</v>
      </c>
      <c r="W20" s="202">
        <f>50%-$W$2-$Z$3</f>
        <v>0.5</v>
      </c>
      <c r="X20" s="202">
        <f>60%-$W$2-$Z$3</f>
        <v>0.6</v>
      </c>
      <c r="Y20" s="202">
        <f>70%-$W$2-$Z$3</f>
        <v>0.7</v>
      </c>
      <c r="Z20" s="202">
        <f>80%-$W$2-$Z$3</f>
        <v>0.8</v>
      </c>
      <c r="AC20" s="200" t="s">
        <v>25</v>
      </c>
      <c r="AD20" s="201"/>
      <c r="AE20" s="202">
        <f>40%-$AF$2-$AI$3</f>
        <v>0.4</v>
      </c>
      <c r="AF20" s="202">
        <f>50%-$AF$2-$AI$3</f>
        <v>0.5</v>
      </c>
      <c r="AG20" s="202">
        <f>60%-$AF$2-$AI$3</f>
        <v>0.6</v>
      </c>
      <c r="AH20" s="202">
        <f>70%-$AF$2-$AI$3</f>
        <v>0.7</v>
      </c>
      <c r="AI20" s="202">
        <f>80%-$AF$2-$AI$3</f>
        <v>0.8</v>
      </c>
      <c r="AK20" s="242"/>
      <c r="AM20" s="12"/>
      <c r="AN20" s="12"/>
      <c r="AO20" s="12"/>
      <c r="AP20" s="12"/>
      <c r="AQ20" s="281"/>
    </row>
    <row r="21" spans="1:43" ht="12" x14ac:dyDescent="0.15">
      <c r="A21" s="233">
        <v>0.35</v>
      </c>
      <c r="B21" s="191" t="s">
        <v>26</v>
      </c>
      <c r="C21" s="216" t="s">
        <v>85</v>
      </c>
      <c r="D21" s="198">
        <f t="shared" ref="D21:H28" si="19">$A21*D$20</f>
        <v>0.13999999999999999</v>
      </c>
      <c r="E21" s="198">
        <f t="shared" si="19"/>
        <v>0.17499999999999999</v>
      </c>
      <c r="F21" s="198">
        <f t="shared" si="19"/>
        <v>0.21</v>
      </c>
      <c r="G21" s="198">
        <f t="shared" si="19"/>
        <v>0.24499999999999997</v>
      </c>
      <c r="H21" s="198">
        <f t="shared" si="19"/>
        <v>0.27999999999999997</v>
      </c>
      <c r="J21" s="233">
        <v>0.35</v>
      </c>
      <c r="K21" s="191" t="s">
        <v>26</v>
      </c>
      <c r="L21" s="216" t="s">
        <v>85</v>
      </c>
      <c r="M21" s="198">
        <f t="shared" ref="M21:O28" si="20">$J21*M$20</f>
        <v>0.13999999999999999</v>
      </c>
      <c r="N21" s="198">
        <f t="shared" si="20"/>
        <v>0.17499999999999999</v>
      </c>
      <c r="O21" s="198">
        <f>$J21*O$20</f>
        <v>0.21</v>
      </c>
      <c r="P21" s="198">
        <f t="shared" ref="P21:Q28" si="21">$J21*P$20</f>
        <v>0.24499999999999997</v>
      </c>
      <c r="Q21" s="198">
        <f t="shared" si="21"/>
        <v>0.27999999999999997</v>
      </c>
      <c r="S21" s="233">
        <v>0.35</v>
      </c>
      <c r="T21" s="191" t="s">
        <v>26</v>
      </c>
      <c r="U21" s="216" t="s">
        <v>85</v>
      </c>
      <c r="V21" s="198">
        <f>$S21*V$20</f>
        <v>0.13999999999999999</v>
      </c>
      <c r="W21" s="198">
        <f t="shared" ref="W21:Z21" si="22">$S21*W$20</f>
        <v>0.17499999999999999</v>
      </c>
      <c r="X21" s="198">
        <f t="shared" si="22"/>
        <v>0.21</v>
      </c>
      <c r="Y21" s="198">
        <f t="shared" si="22"/>
        <v>0.24499999999999997</v>
      </c>
      <c r="Z21" s="198">
        <f t="shared" si="22"/>
        <v>0.27999999999999997</v>
      </c>
      <c r="AB21" s="233">
        <v>0.35</v>
      </c>
      <c r="AC21" s="191" t="s">
        <v>26</v>
      </c>
      <c r="AD21" s="216" t="s">
        <v>85</v>
      </c>
      <c r="AE21" s="198">
        <f>$AB21*AE$20</f>
        <v>0.13999999999999999</v>
      </c>
      <c r="AF21" s="198">
        <f t="shared" ref="AF21:AI21" si="23">$AB21*AF$20</f>
        <v>0.17499999999999999</v>
      </c>
      <c r="AG21" s="198">
        <f t="shared" si="23"/>
        <v>0.21</v>
      </c>
      <c r="AH21" s="198">
        <f t="shared" si="23"/>
        <v>0.24499999999999997</v>
      </c>
      <c r="AI21" s="198">
        <f t="shared" si="23"/>
        <v>0.27999999999999997</v>
      </c>
      <c r="AK21" s="248"/>
      <c r="AM21" s="12"/>
      <c r="AN21" s="12"/>
      <c r="AO21" s="12"/>
      <c r="AP21" s="37"/>
      <c r="AQ21" s="281"/>
    </row>
    <row r="22" spans="1:43" x14ac:dyDescent="0.15">
      <c r="A22" s="233">
        <v>0.1</v>
      </c>
      <c r="B22" s="191"/>
      <c r="C22" s="216" t="s">
        <v>86</v>
      </c>
      <c r="D22" s="198">
        <f t="shared" si="19"/>
        <v>4.0000000000000008E-2</v>
      </c>
      <c r="E22" s="198">
        <f t="shared" si="19"/>
        <v>0.05</v>
      </c>
      <c r="F22" s="198">
        <f t="shared" si="19"/>
        <v>0.06</v>
      </c>
      <c r="G22" s="198">
        <f t="shared" si="19"/>
        <v>6.9999999999999993E-2</v>
      </c>
      <c r="H22" s="198">
        <f t="shared" si="19"/>
        <v>8.0000000000000016E-2</v>
      </c>
      <c r="J22" s="233">
        <v>0.1</v>
      </c>
      <c r="K22" s="191"/>
      <c r="L22" s="216" t="s">
        <v>86</v>
      </c>
      <c r="M22" s="198">
        <f t="shared" si="20"/>
        <v>4.0000000000000008E-2</v>
      </c>
      <c r="N22" s="198">
        <f t="shared" si="20"/>
        <v>0.05</v>
      </c>
      <c r="O22" s="198">
        <f t="shared" si="20"/>
        <v>0.06</v>
      </c>
      <c r="P22" s="198">
        <f t="shared" si="21"/>
        <v>6.9999999999999993E-2</v>
      </c>
      <c r="Q22" s="198">
        <f t="shared" si="21"/>
        <v>8.0000000000000016E-2</v>
      </c>
      <c r="S22" s="233">
        <v>0.1</v>
      </c>
      <c r="T22" s="191"/>
      <c r="U22" s="216" t="s">
        <v>86</v>
      </c>
      <c r="V22" s="198">
        <f t="shared" ref="V22:Z28" si="24">$S22*V$20</f>
        <v>4.0000000000000008E-2</v>
      </c>
      <c r="W22" s="198">
        <f t="shared" si="24"/>
        <v>0.05</v>
      </c>
      <c r="X22" s="198">
        <f t="shared" si="24"/>
        <v>0.06</v>
      </c>
      <c r="Y22" s="198">
        <f t="shared" si="24"/>
        <v>6.9999999999999993E-2</v>
      </c>
      <c r="Z22" s="198">
        <f t="shared" si="24"/>
        <v>8.0000000000000016E-2</v>
      </c>
      <c r="AB22" s="233">
        <v>0.1</v>
      </c>
      <c r="AC22" s="191"/>
      <c r="AD22" s="216" t="s">
        <v>86</v>
      </c>
      <c r="AE22" s="198">
        <f t="shared" ref="AE22:AI28" si="25">$AB22*AE$20</f>
        <v>4.0000000000000008E-2</v>
      </c>
      <c r="AF22" s="198">
        <f t="shared" si="25"/>
        <v>0.05</v>
      </c>
      <c r="AG22" s="198">
        <f t="shared" si="25"/>
        <v>0.06</v>
      </c>
      <c r="AH22" s="198">
        <f t="shared" si="25"/>
        <v>6.9999999999999993E-2</v>
      </c>
      <c r="AI22" s="198">
        <f t="shared" si="25"/>
        <v>8.0000000000000016E-2</v>
      </c>
      <c r="AK22" s="248"/>
    </row>
    <row r="23" spans="1:43" x14ac:dyDescent="0.15">
      <c r="A23" s="233">
        <v>0.2</v>
      </c>
      <c r="B23" s="191" t="s">
        <v>28</v>
      </c>
      <c r="C23" s="216" t="s">
        <v>79</v>
      </c>
      <c r="D23" s="198">
        <f t="shared" si="19"/>
        <v>8.0000000000000016E-2</v>
      </c>
      <c r="E23" s="198">
        <f t="shared" si="19"/>
        <v>0.1</v>
      </c>
      <c r="F23" s="198">
        <f t="shared" si="19"/>
        <v>0.12</v>
      </c>
      <c r="G23" s="198">
        <f t="shared" si="19"/>
        <v>0.13999999999999999</v>
      </c>
      <c r="H23" s="198">
        <f t="shared" si="19"/>
        <v>0.16000000000000003</v>
      </c>
      <c r="J23" s="233">
        <v>0.2</v>
      </c>
      <c r="K23" s="191" t="s">
        <v>28</v>
      </c>
      <c r="L23" s="216" t="s">
        <v>79</v>
      </c>
      <c r="M23" s="198">
        <f t="shared" si="20"/>
        <v>8.0000000000000016E-2</v>
      </c>
      <c r="N23" s="198">
        <f t="shared" si="20"/>
        <v>0.1</v>
      </c>
      <c r="O23" s="198">
        <f t="shared" si="20"/>
        <v>0.12</v>
      </c>
      <c r="P23" s="198">
        <f t="shared" si="21"/>
        <v>0.13999999999999999</v>
      </c>
      <c r="Q23" s="198">
        <f t="shared" si="21"/>
        <v>0.16000000000000003</v>
      </c>
      <c r="S23" s="233">
        <v>0.2</v>
      </c>
      <c r="T23" s="191" t="s">
        <v>28</v>
      </c>
      <c r="U23" s="279" t="s">
        <v>79</v>
      </c>
      <c r="V23" s="198">
        <f t="shared" si="24"/>
        <v>8.0000000000000016E-2</v>
      </c>
      <c r="W23" s="198">
        <f t="shared" si="24"/>
        <v>0.1</v>
      </c>
      <c r="X23" s="198">
        <f t="shared" si="24"/>
        <v>0.12</v>
      </c>
      <c r="Y23" s="198">
        <f t="shared" si="24"/>
        <v>0.13999999999999999</v>
      </c>
      <c r="Z23" s="198">
        <f t="shared" si="24"/>
        <v>0.16000000000000003</v>
      </c>
      <c r="AB23" s="233">
        <v>0.2</v>
      </c>
      <c r="AC23" s="191" t="s">
        <v>28</v>
      </c>
      <c r="AD23" s="279" t="s">
        <v>79</v>
      </c>
      <c r="AE23" s="198">
        <f t="shared" si="25"/>
        <v>8.0000000000000016E-2</v>
      </c>
      <c r="AF23" s="198">
        <f t="shared" si="25"/>
        <v>0.1</v>
      </c>
      <c r="AG23" s="198">
        <f t="shared" si="25"/>
        <v>0.12</v>
      </c>
      <c r="AH23" s="198">
        <f t="shared" si="25"/>
        <v>0.13999999999999999</v>
      </c>
      <c r="AI23" s="198">
        <f t="shared" si="25"/>
        <v>0.16000000000000003</v>
      </c>
      <c r="AK23" s="248"/>
    </row>
    <row r="24" spans="1:43" x14ac:dyDescent="0.15">
      <c r="A24" s="233">
        <v>0.1</v>
      </c>
      <c r="B24" s="191"/>
      <c r="C24" s="216" t="s">
        <v>88</v>
      </c>
      <c r="D24" s="198">
        <f t="shared" si="19"/>
        <v>4.0000000000000008E-2</v>
      </c>
      <c r="E24" s="198">
        <f t="shared" si="19"/>
        <v>0.05</v>
      </c>
      <c r="F24" s="198">
        <f t="shared" si="19"/>
        <v>0.06</v>
      </c>
      <c r="G24" s="198">
        <f t="shared" si="19"/>
        <v>6.9999999999999993E-2</v>
      </c>
      <c r="H24" s="198">
        <f t="shared" si="19"/>
        <v>8.0000000000000016E-2</v>
      </c>
      <c r="J24" s="233">
        <v>0.1</v>
      </c>
      <c r="K24" s="191"/>
      <c r="L24" s="216" t="s">
        <v>77</v>
      </c>
      <c r="M24" s="198">
        <f t="shared" si="20"/>
        <v>4.0000000000000008E-2</v>
      </c>
      <c r="N24" s="198">
        <f t="shared" si="20"/>
        <v>0.05</v>
      </c>
      <c r="O24" s="198">
        <f t="shared" si="20"/>
        <v>0.06</v>
      </c>
      <c r="P24" s="198">
        <f t="shared" si="21"/>
        <v>6.9999999999999993E-2</v>
      </c>
      <c r="Q24" s="198">
        <f t="shared" si="21"/>
        <v>8.0000000000000016E-2</v>
      </c>
      <c r="S24" s="233">
        <v>0.1</v>
      </c>
      <c r="T24" s="191"/>
      <c r="U24" s="279" t="s">
        <v>77</v>
      </c>
      <c r="V24" s="198">
        <f t="shared" si="24"/>
        <v>4.0000000000000008E-2</v>
      </c>
      <c r="W24" s="198">
        <f t="shared" si="24"/>
        <v>0.05</v>
      </c>
      <c r="X24" s="198">
        <f t="shared" si="24"/>
        <v>0.06</v>
      </c>
      <c r="Y24" s="198">
        <f t="shared" si="24"/>
        <v>6.9999999999999993E-2</v>
      </c>
      <c r="Z24" s="198">
        <f t="shared" si="24"/>
        <v>8.0000000000000016E-2</v>
      </c>
      <c r="AB24" s="233">
        <v>0.1</v>
      </c>
      <c r="AC24" s="191"/>
      <c r="AD24" s="279" t="s">
        <v>77</v>
      </c>
      <c r="AE24" s="198">
        <f t="shared" si="25"/>
        <v>4.0000000000000008E-2</v>
      </c>
      <c r="AF24" s="198">
        <f t="shared" si="25"/>
        <v>0.05</v>
      </c>
      <c r="AG24" s="198">
        <f t="shared" si="25"/>
        <v>0.06</v>
      </c>
      <c r="AH24" s="198">
        <f t="shared" si="25"/>
        <v>6.9999999999999993E-2</v>
      </c>
      <c r="AI24" s="198">
        <f t="shared" si="25"/>
        <v>8.0000000000000016E-2</v>
      </c>
      <c r="AK24" s="248"/>
    </row>
    <row r="25" spans="1:43" x14ac:dyDescent="0.15">
      <c r="A25" s="233">
        <v>0.1</v>
      </c>
      <c r="B25" s="191" t="s">
        <v>60</v>
      </c>
      <c r="C25" s="216" t="s">
        <v>84</v>
      </c>
      <c r="D25" s="198">
        <f t="shared" si="19"/>
        <v>4.0000000000000008E-2</v>
      </c>
      <c r="E25" s="198">
        <f t="shared" si="19"/>
        <v>0.05</v>
      </c>
      <c r="F25" s="198">
        <f t="shared" si="19"/>
        <v>0.06</v>
      </c>
      <c r="G25" s="198">
        <f t="shared" si="19"/>
        <v>6.9999999999999993E-2</v>
      </c>
      <c r="H25" s="198">
        <f t="shared" si="19"/>
        <v>8.0000000000000016E-2</v>
      </c>
      <c r="J25" s="233">
        <v>0.1</v>
      </c>
      <c r="K25" s="191"/>
      <c r="L25" s="216" t="s">
        <v>84</v>
      </c>
      <c r="M25" s="198">
        <f t="shared" si="20"/>
        <v>4.0000000000000008E-2</v>
      </c>
      <c r="N25" s="198">
        <f t="shared" si="20"/>
        <v>0.05</v>
      </c>
      <c r="O25" s="198">
        <f t="shared" si="20"/>
        <v>0.06</v>
      </c>
      <c r="P25" s="198">
        <f t="shared" si="21"/>
        <v>6.9999999999999993E-2</v>
      </c>
      <c r="Q25" s="198">
        <f t="shared" si="21"/>
        <v>8.0000000000000016E-2</v>
      </c>
      <c r="S25" s="233">
        <v>0.1</v>
      </c>
      <c r="T25" s="191"/>
      <c r="U25" s="279" t="s">
        <v>84</v>
      </c>
      <c r="V25" s="198">
        <f t="shared" si="24"/>
        <v>4.0000000000000008E-2</v>
      </c>
      <c r="W25" s="198">
        <f t="shared" si="24"/>
        <v>0.05</v>
      </c>
      <c r="X25" s="198">
        <f t="shared" si="24"/>
        <v>0.06</v>
      </c>
      <c r="Y25" s="198">
        <f t="shared" si="24"/>
        <v>6.9999999999999993E-2</v>
      </c>
      <c r="Z25" s="198">
        <f t="shared" si="24"/>
        <v>8.0000000000000016E-2</v>
      </c>
      <c r="AB25" s="233">
        <v>0.1</v>
      </c>
      <c r="AC25" s="191" t="s">
        <v>33</v>
      </c>
      <c r="AD25" s="279" t="s">
        <v>84</v>
      </c>
      <c r="AE25" s="198">
        <f t="shared" si="25"/>
        <v>4.0000000000000008E-2</v>
      </c>
      <c r="AF25" s="198">
        <f t="shared" si="25"/>
        <v>0.05</v>
      </c>
      <c r="AG25" s="198">
        <f t="shared" si="25"/>
        <v>0.06</v>
      </c>
      <c r="AH25" s="198">
        <f t="shared" si="25"/>
        <v>6.9999999999999993E-2</v>
      </c>
      <c r="AI25" s="198">
        <f t="shared" si="25"/>
        <v>8.0000000000000016E-2</v>
      </c>
      <c r="AK25" s="248"/>
    </row>
    <row r="26" spans="1:43" x14ac:dyDescent="0.15">
      <c r="A26" s="233">
        <v>0.1</v>
      </c>
      <c r="B26" s="191" t="s">
        <v>33</v>
      </c>
      <c r="C26" s="216" t="s">
        <v>461</v>
      </c>
      <c r="D26" s="198">
        <f t="shared" si="19"/>
        <v>4.0000000000000008E-2</v>
      </c>
      <c r="E26" s="198">
        <f t="shared" si="19"/>
        <v>0.05</v>
      </c>
      <c r="F26" s="198">
        <f t="shared" si="19"/>
        <v>0.06</v>
      </c>
      <c r="G26" s="198">
        <f t="shared" si="19"/>
        <v>6.9999999999999993E-2</v>
      </c>
      <c r="H26" s="198">
        <f t="shared" si="19"/>
        <v>8.0000000000000016E-2</v>
      </c>
      <c r="J26" s="233">
        <v>0.1</v>
      </c>
      <c r="K26" s="191" t="s">
        <v>33</v>
      </c>
      <c r="L26" s="199" t="s">
        <v>462</v>
      </c>
      <c r="M26" s="198">
        <f t="shared" si="20"/>
        <v>4.0000000000000008E-2</v>
      </c>
      <c r="N26" s="198">
        <f t="shared" si="20"/>
        <v>0.05</v>
      </c>
      <c r="O26" s="198">
        <f t="shared" si="20"/>
        <v>0.06</v>
      </c>
      <c r="P26" s="198">
        <f t="shared" si="21"/>
        <v>6.9999999999999993E-2</v>
      </c>
      <c r="Q26" s="198">
        <f t="shared" si="21"/>
        <v>8.0000000000000016E-2</v>
      </c>
      <c r="S26" s="233">
        <v>0.1</v>
      </c>
      <c r="T26" s="191" t="s">
        <v>33</v>
      </c>
      <c r="U26" s="199" t="s">
        <v>462</v>
      </c>
      <c r="V26" s="198">
        <f t="shared" si="24"/>
        <v>4.0000000000000008E-2</v>
      </c>
      <c r="W26" s="198">
        <f t="shared" si="24"/>
        <v>0.05</v>
      </c>
      <c r="X26" s="198">
        <f t="shared" si="24"/>
        <v>0.06</v>
      </c>
      <c r="Y26" s="198">
        <f t="shared" si="24"/>
        <v>6.9999999999999993E-2</v>
      </c>
      <c r="Z26" s="198">
        <f t="shared" si="24"/>
        <v>8.0000000000000016E-2</v>
      </c>
      <c r="AB26" s="233">
        <v>0.1</v>
      </c>
      <c r="AC26" s="191"/>
      <c r="AD26" s="279"/>
      <c r="AE26" s="198">
        <f t="shared" si="25"/>
        <v>4.0000000000000008E-2</v>
      </c>
      <c r="AF26" s="198">
        <f t="shared" si="25"/>
        <v>0.05</v>
      </c>
      <c r="AG26" s="198">
        <f t="shared" si="25"/>
        <v>0.06</v>
      </c>
      <c r="AH26" s="198">
        <f t="shared" si="25"/>
        <v>6.9999999999999993E-2</v>
      </c>
      <c r="AI26" s="198">
        <f t="shared" si="25"/>
        <v>8.0000000000000016E-2</v>
      </c>
      <c r="AK26" s="249"/>
    </row>
    <row r="27" spans="1:43" x14ac:dyDescent="0.15">
      <c r="B27" s="191"/>
      <c r="C27" s="216"/>
      <c r="D27" s="198"/>
      <c r="E27" s="198"/>
      <c r="F27" s="198"/>
      <c r="G27" s="198"/>
      <c r="H27" s="198"/>
      <c r="J27" s="233"/>
      <c r="K27" s="191"/>
      <c r="L27" s="279"/>
      <c r="M27" s="198"/>
      <c r="N27" s="198"/>
      <c r="O27" s="198"/>
      <c r="P27" s="198"/>
      <c r="Q27" s="198"/>
      <c r="S27" s="233"/>
      <c r="T27" s="191"/>
      <c r="U27" s="199"/>
      <c r="V27" s="198"/>
      <c r="W27" s="198"/>
      <c r="X27" s="198"/>
      <c r="Y27" s="198"/>
      <c r="Z27" s="198"/>
      <c r="AB27" s="233"/>
      <c r="AC27" s="191"/>
      <c r="AD27" s="279"/>
      <c r="AE27" s="198"/>
      <c r="AF27" s="198"/>
      <c r="AG27" s="198"/>
      <c r="AH27" s="198"/>
      <c r="AI27" s="198"/>
      <c r="AK27" s="249"/>
    </row>
    <row r="28" spans="1:43" x14ac:dyDescent="0.15">
      <c r="A28" s="233">
        <v>0.05</v>
      </c>
      <c r="B28" s="191" t="s">
        <v>37</v>
      </c>
      <c r="C28" s="216" t="s">
        <v>87</v>
      </c>
      <c r="D28" s="198">
        <f t="shared" si="19"/>
        <v>2.0000000000000004E-2</v>
      </c>
      <c r="E28" s="198">
        <f t="shared" si="19"/>
        <v>2.5000000000000001E-2</v>
      </c>
      <c r="F28" s="198">
        <f t="shared" si="19"/>
        <v>0.03</v>
      </c>
      <c r="G28" s="198">
        <f t="shared" si="19"/>
        <v>3.4999999999999996E-2</v>
      </c>
      <c r="H28" s="198">
        <f t="shared" si="19"/>
        <v>4.0000000000000008E-2</v>
      </c>
      <c r="J28" s="233">
        <v>0.05</v>
      </c>
      <c r="K28" s="191" t="s">
        <v>37</v>
      </c>
      <c r="L28" s="216" t="s">
        <v>78</v>
      </c>
      <c r="M28" s="198">
        <f t="shared" si="20"/>
        <v>2.0000000000000004E-2</v>
      </c>
      <c r="N28" s="198">
        <f t="shared" si="20"/>
        <v>2.5000000000000001E-2</v>
      </c>
      <c r="O28" s="198">
        <f t="shared" si="20"/>
        <v>0.03</v>
      </c>
      <c r="P28" s="198">
        <f t="shared" si="21"/>
        <v>3.4999999999999996E-2</v>
      </c>
      <c r="Q28" s="198">
        <f t="shared" si="21"/>
        <v>4.0000000000000008E-2</v>
      </c>
      <c r="S28" s="233">
        <v>0.05</v>
      </c>
      <c r="T28" s="191" t="s">
        <v>37</v>
      </c>
      <c r="U28" s="216" t="s">
        <v>78</v>
      </c>
      <c r="V28" s="198">
        <f t="shared" si="24"/>
        <v>2.0000000000000004E-2</v>
      </c>
      <c r="W28" s="198">
        <f t="shared" si="24"/>
        <v>2.5000000000000001E-2</v>
      </c>
      <c r="X28" s="198">
        <f t="shared" si="24"/>
        <v>0.03</v>
      </c>
      <c r="Y28" s="198">
        <f t="shared" si="24"/>
        <v>3.4999999999999996E-2</v>
      </c>
      <c r="Z28" s="198">
        <f t="shared" si="24"/>
        <v>4.0000000000000008E-2</v>
      </c>
      <c r="AB28" s="233">
        <v>0.05</v>
      </c>
      <c r="AC28" s="191" t="s">
        <v>37</v>
      </c>
      <c r="AD28" s="216" t="s">
        <v>78</v>
      </c>
      <c r="AE28" s="198">
        <f t="shared" si="25"/>
        <v>2.0000000000000004E-2</v>
      </c>
      <c r="AF28" s="198">
        <f t="shared" si="25"/>
        <v>2.5000000000000001E-2</v>
      </c>
      <c r="AG28" s="198">
        <f t="shared" si="25"/>
        <v>0.03</v>
      </c>
      <c r="AH28" s="198">
        <f t="shared" si="25"/>
        <v>3.4999999999999996E-2</v>
      </c>
      <c r="AI28" s="198">
        <f t="shared" si="25"/>
        <v>4.0000000000000008E-2</v>
      </c>
      <c r="AK28" s="242"/>
    </row>
    <row r="29" spans="1:43" x14ac:dyDescent="0.15">
      <c r="B29" s="191"/>
      <c r="C29" s="199"/>
      <c r="D29" s="198"/>
      <c r="E29" s="198"/>
      <c r="F29" s="198"/>
      <c r="G29" s="198"/>
      <c r="H29" s="198"/>
      <c r="J29" s="242"/>
      <c r="K29" s="191"/>
      <c r="L29" s="199"/>
      <c r="M29" s="198"/>
      <c r="N29" s="198"/>
      <c r="O29" s="198"/>
      <c r="P29" s="198"/>
      <c r="Q29" s="198"/>
      <c r="S29" s="242"/>
      <c r="T29" s="191"/>
      <c r="U29" s="199"/>
      <c r="V29" s="198"/>
      <c r="W29" s="198"/>
      <c r="X29" s="198"/>
      <c r="Y29" s="198"/>
      <c r="Z29" s="198"/>
      <c r="AC29" s="191"/>
      <c r="AD29" s="199"/>
      <c r="AE29" s="198"/>
      <c r="AF29" s="198"/>
      <c r="AG29" s="198"/>
      <c r="AH29" s="198"/>
      <c r="AI29" s="198"/>
      <c r="AK29" s="242"/>
    </row>
    <row r="30" spans="1:43" x14ac:dyDescent="0.15">
      <c r="B30" s="204" t="s">
        <v>40</v>
      </c>
      <c r="C30" s="205"/>
      <c r="D30" s="206">
        <f>$E$2</f>
        <v>0</v>
      </c>
      <c r="E30" s="206">
        <f>$E$2</f>
        <v>0</v>
      </c>
      <c r="F30" s="206">
        <f>$E$2</f>
        <v>0</v>
      </c>
      <c r="G30" s="206">
        <f>$E$2</f>
        <v>0</v>
      </c>
      <c r="H30" s="206">
        <f>$E$2</f>
        <v>0</v>
      </c>
      <c r="J30" s="242"/>
      <c r="K30" s="204" t="s">
        <v>40</v>
      </c>
      <c r="L30" s="205"/>
      <c r="M30" s="206">
        <f>$N$2</f>
        <v>0</v>
      </c>
      <c r="N30" s="206">
        <f t="shared" ref="N30:Q30" si="26">$N$2</f>
        <v>0</v>
      </c>
      <c r="O30" s="206">
        <f t="shared" si="26"/>
        <v>0</v>
      </c>
      <c r="P30" s="206">
        <f t="shared" si="26"/>
        <v>0</v>
      </c>
      <c r="Q30" s="206">
        <f t="shared" si="26"/>
        <v>0</v>
      </c>
      <c r="S30" s="242"/>
      <c r="T30" s="204" t="s">
        <v>40</v>
      </c>
      <c r="U30" s="205"/>
      <c r="V30" s="206">
        <f>$W$2</f>
        <v>0</v>
      </c>
      <c r="W30" s="206">
        <f t="shared" ref="W30:Z30" si="27">$W$2</f>
        <v>0</v>
      </c>
      <c r="X30" s="206">
        <f t="shared" si="27"/>
        <v>0</v>
      </c>
      <c r="Y30" s="206">
        <f t="shared" si="27"/>
        <v>0</v>
      </c>
      <c r="Z30" s="206">
        <f t="shared" si="27"/>
        <v>0</v>
      </c>
      <c r="AC30" s="204" t="s">
        <v>40</v>
      </c>
      <c r="AD30" s="205"/>
      <c r="AE30" s="206">
        <f>$AF$2</f>
        <v>0</v>
      </c>
      <c r="AF30" s="206">
        <f t="shared" ref="AF30:AI30" si="28">$AF$2</f>
        <v>0</v>
      </c>
      <c r="AG30" s="206">
        <f>$AF$2</f>
        <v>0</v>
      </c>
      <c r="AH30" s="206">
        <f t="shared" si="28"/>
        <v>0</v>
      </c>
      <c r="AI30" s="206">
        <f t="shared" si="28"/>
        <v>0</v>
      </c>
      <c r="AK30" s="242"/>
    </row>
    <row r="31" spans="1:43" x14ac:dyDescent="0.15">
      <c r="A31" s="233">
        <v>0.3</v>
      </c>
      <c r="B31" s="232" t="s">
        <v>452</v>
      </c>
      <c r="C31" s="203" t="s">
        <v>455</v>
      </c>
      <c r="D31" s="198">
        <f t="shared" ref="D31:H38" si="29">$A31*D$30</f>
        <v>0</v>
      </c>
      <c r="E31" s="198">
        <f t="shared" si="29"/>
        <v>0</v>
      </c>
      <c r="F31" s="198">
        <f t="shared" si="29"/>
        <v>0</v>
      </c>
      <c r="G31" s="198">
        <f t="shared" si="29"/>
        <v>0</v>
      </c>
      <c r="H31" s="198">
        <f t="shared" si="29"/>
        <v>0</v>
      </c>
      <c r="J31" s="242">
        <v>0.25</v>
      </c>
      <c r="K31" s="232" t="s">
        <v>452</v>
      </c>
      <c r="L31" s="203" t="s">
        <v>455</v>
      </c>
      <c r="M31" s="198">
        <f>$J31*M$30</f>
        <v>0</v>
      </c>
      <c r="N31" s="198">
        <f t="shared" ref="N31:Q31" si="30">$J31*N$30</f>
        <v>0</v>
      </c>
      <c r="O31" s="198">
        <f t="shared" si="30"/>
        <v>0</v>
      </c>
      <c r="P31" s="198">
        <f t="shared" si="30"/>
        <v>0</v>
      </c>
      <c r="Q31" s="198">
        <f t="shared" si="30"/>
        <v>0</v>
      </c>
      <c r="S31" s="242">
        <v>0.25</v>
      </c>
      <c r="T31" s="232" t="s">
        <v>452</v>
      </c>
      <c r="U31" s="203" t="s">
        <v>455</v>
      </c>
      <c r="V31" s="198">
        <f>$S31*V$30</f>
        <v>0</v>
      </c>
      <c r="W31" s="198">
        <f t="shared" ref="W31:Z31" si="31">$S31*W$30</f>
        <v>0</v>
      </c>
      <c r="X31" s="198">
        <f t="shared" si="31"/>
        <v>0</v>
      </c>
      <c r="Y31" s="198">
        <f t="shared" si="31"/>
        <v>0</v>
      </c>
      <c r="Z31" s="198">
        <f t="shared" si="31"/>
        <v>0</v>
      </c>
      <c r="AB31" s="242">
        <v>0.25</v>
      </c>
      <c r="AC31" s="232" t="s">
        <v>452</v>
      </c>
      <c r="AD31" s="203" t="s">
        <v>455</v>
      </c>
      <c r="AE31" s="198">
        <f>$AB31*AE$30</f>
        <v>0</v>
      </c>
      <c r="AF31" s="198">
        <f>$AB31*AF$30</f>
        <v>0</v>
      </c>
      <c r="AG31" s="198">
        <f t="shared" ref="AG31:AI31" si="32">$AB31*AG$30</f>
        <v>0</v>
      </c>
      <c r="AH31" s="198">
        <f t="shared" si="32"/>
        <v>0</v>
      </c>
      <c r="AI31" s="198">
        <f t="shared" si="32"/>
        <v>0</v>
      </c>
      <c r="AK31" s="242"/>
    </row>
    <row r="32" spans="1:43" x14ac:dyDescent="0.15">
      <c r="A32" s="233">
        <v>0.4</v>
      </c>
      <c r="B32" s="191"/>
      <c r="C32" s="203" t="s">
        <v>456</v>
      </c>
      <c r="D32" s="198">
        <f t="shared" si="29"/>
        <v>0</v>
      </c>
      <c r="E32" s="198">
        <f t="shared" si="29"/>
        <v>0</v>
      </c>
      <c r="F32" s="198">
        <f t="shared" si="29"/>
        <v>0</v>
      </c>
      <c r="G32" s="198">
        <f t="shared" si="29"/>
        <v>0</v>
      </c>
      <c r="H32" s="198">
        <f t="shared" si="29"/>
        <v>0</v>
      </c>
      <c r="J32" s="242">
        <v>0</v>
      </c>
      <c r="K32" s="191"/>
      <c r="L32" s="203" t="s">
        <v>456</v>
      </c>
      <c r="M32" s="198">
        <f t="shared" ref="M32:Q38" si="33">$J32*M$30</f>
        <v>0</v>
      </c>
      <c r="N32" s="198">
        <f t="shared" si="33"/>
        <v>0</v>
      </c>
      <c r="O32" s="198">
        <f t="shared" si="33"/>
        <v>0</v>
      </c>
      <c r="P32" s="198">
        <f t="shared" si="33"/>
        <v>0</v>
      </c>
      <c r="Q32" s="198">
        <f t="shared" si="33"/>
        <v>0</v>
      </c>
      <c r="S32" s="242">
        <v>0</v>
      </c>
      <c r="T32" s="191"/>
      <c r="U32" s="203" t="s">
        <v>456</v>
      </c>
      <c r="V32" s="198">
        <f t="shared" ref="V32:Z38" si="34">$S32*V$30</f>
        <v>0</v>
      </c>
      <c r="W32" s="198">
        <f t="shared" si="34"/>
        <v>0</v>
      </c>
      <c r="X32" s="198">
        <f t="shared" si="34"/>
        <v>0</v>
      </c>
      <c r="Y32" s="198">
        <f t="shared" si="34"/>
        <v>0</v>
      </c>
      <c r="Z32" s="198">
        <f t="shared" si="34"/>
        <v>0</v>
      </c>
      <c r="AB32" s="242">
        <v>0</v>
      </c>
      <c r="AC32" s="191"/>
      <c r="AD32" s="203" t="s">
        <v>456</v>
      </c>
      <c r="AE32" s="198">
        <f t="shared" ref="AE32:AI38" si="35">$AB32*AE$30</f>
        <v>0</v>
      </c>
      <c r="AF32" s="198">
        <f t="shared" si="35"/>
        <v>0</v>
      </c>
      <c r="AG32" s="198">
        <f t="shared" si="35"/>
        <v>0</v>
      </c>
      <c r="AH32" s="198">
        <f t="shared" si="35"/>
        <v>0</v>
      </c>
      <c r="AI32" s="198">
        <f t="shared" si="35"/>
        <v>0</v>
      </c>
      <c r="AK32" s="242"/>
    </row>
    <row r="33" spans="1:37" x14ac:dyDescent="0.15">
      <c r="A33" s="233">
        <v>0.3</v>
      </c>
      <c r="B33" s="191" t="s">
        <v>453</v>
      </c>
      <c r="C33" s="216" t="s">
        <v>41</v>
      </c>
      <c r="D33" s="198">
        <f t="shared" si="29"/>
        <v>0</v>
      </c>
      <c r="E33" s="198">
        <f t="shared" si="29"/>
        <v>0</v>
      </c>
      <c r="F33" s="198">
        <f t="shared" si="29"/>
        <v>0</v>
      </c>
      <c r="G33" s="198">
        <f t="shared" si="29"/>
        <v>0</v>
      </c>
      <c r="H33" s="198">
        <f t="shared" si="29"/>
        <v>0</v>
      </c>
      <c r="J33" s="242">
        <v>0.25</v>
      </c>
      <c r="K33" s="191" t="s">
        <v>453</v>
      </c>
      <c r="L33" s="216" t="s">
        <v>41</v>
      </c>
      <c r="M33" s="198">
        <f t="shared" si="33"/>
        <v>0</v>
      </c>
      <c r="N33" s="198">
        <f t="shared" si="33"/>
        <v>0</v>
      </c>
      <c r="O33" s="198">
        <f t="shared" si="33"/>
        <v>0</v>
      </c>
      <c r="P33" s="198">
        <f t="shared" si="33"/>
        <v>0</v>
      </c>
      <c r="Q33" s="198">
        <f t="shared" si="33"/>
        <v>0</v>
      </c>
      <c r="S33" s="242">
        <v>0.25</v>
      </c>
      <c r="T33" s="191" t="s">
        <v>453</v>
      </c>
      <c r="U33" s="216" t="s">
        <v>41</v>
      </c>
      <c r="V33" s="198">
        <f t="shared" si="34"/>
        <v>0</v>
      </c>
      <c r="W33" s="198">
        <f t="shared" si="34"/>
        <v>0</v>
      </c>
      <c r="X33" s="198">
        <f t="shared" si="34"/>
        <v>0</v>
      </c>
      <c r="Y33" s="198">
        <f t="shared" si="34"/>
        <v>0</v>
      </c>
      <c r="Z33" s="198">
        <f t="shared" si="34"/>
        <v>0</v>
      </c>
      <c r="AB33" s="242">
        <v>0</v>
      </c>
      <c r="AC33" s="191" t="s">
        <v>453</v>
      </c>
      <c r="AD33" s="216" t="s">
        <v>41</v>
      </c>
      <c r="AE33" s="198">
        <f t="shared" si="35"/>
        <v>0</v>
      </c>
      <c r="AF33" s="198">
        <f t="shared" si="35"/>
        <v>0</v>
      </c>
      <c r="AG33" s="198">
        <f t="shared" si="35"/>
        <v>0</v>
      </c>
      <c r="AH33" s="198">
        <f t="shared" si="35"/>
        <v>0</v>
      </c>
      <c r="AI33" s="198">
        <f t="shared" si="35"/>
        <v>0</v>
      </c>
      <c r="AK33" s="242"/>
    </row>
    <row r="34" spans="1:37" x14ac:dyDescent="0.15">
      <c r="A34" s="233">
        <v>0</v>
      </c>
      <c r="B34" s="191"/>
      <c r="C34" s="216" t="s">
        <v>44</v>
      </c>
      <c r="D34" s="198">
        <f t="shared" si="29"/>
        <v>0</v>
      </c>
      <c r="E34" s="198">
        <f t="shared" si="29"/>
        <v>0</v>
      </c>
      <c r="F34" s="198">
        <f t="shared" si="29"/>
        <v>0</v>
      </c>
      <c r="G34" s="198">
        <f t="shared" si="29"/>
        <v>0</v>
      </c>
      <c r="H34" s="198">
        <f t="shared" si="29"/>
        <v>0</v>
      </c>
      <c r="J34" s="242">
        <v>0.1</v>
      </c>
      <c r="K34" s="191"/>
      <c r="L34" s="216" t="s">
        <v>44</v>
      </c>
      <c r="M34" s="198">
        <f t="shared" si="33"/>
        <v>0</v>
      </c>
      <c r="N34" s="198">
        <f t="shared" si="33"/>
        <v>0</v>
      </c>
      <c r="O34" s="198">
        <f t="shared" si="33"/>
        <v>0</v>
      </c>
      <c r="P34" s="198">
        <f t="shared" si="33"/>
        <v>0</v>
      </c>
      <c r="Q34" s="198">
        <f t="shared" si="33"/>
        <v>0</v>
      </c>
      <c r="S34" s="242">
        <v>0.25</v>
      </c>
      <c r="T34" s="191"/>
      <c r="U34" s="216" t="s">
        <v>44</v>
      </c>
      <c r="V34" s="198">
        <f t="shared" si="34"/>
        <v>0</v>
      </c>
      <c r="W34" s="198">
        <f t="shared" si="34"/>
        <v>0</v>
      </c>
      <c r="X34" s="198">
        <f t="shared" si="34"/>
        <v>0</v>
      </c>
      <c r="Y34" s="198">
        <f t="shared" si="34"/>
        <v>0</v>
      </c>
      <c r="Z34" s="198">
        <f t="shared" si="34"/>
        <v>0</v>
      </c>
      <c r="AB34" s="242">
        <v>0</v>
      </c>
      <c r="AC34" s="191"/>
      <c r="AD34" s="216" t="s">
        <v>44</v>
      </c>
      <c r="AE34" s="198">
        <f t="shared" si="35"/>
        <v>0</v>
      </c>
      <c r="AF34" s="198">
        <f t="shared" si="35"/>
        <v>0</v>
      </c>
      <c r="AG34" s="198">
        <f t="shared" si="35"/>
        <v>0</v>
      </c>
      <c r="AH34" s="198">
        <f t="shared" si="35"/>
        <v>0</v>
      </c>
      <c r="AI34" s="198">
        <f t="shared" si="35"/>
        <v>0</v>
      </c>
      <c r="AK34" s="242"/>
    </row>
    <row r="35" spans="1:37" x14ac:dyDescent="0.15">
      <c r="A35" s="233">
        <v>0</v>
      </c>
      <c r="B35" s="191"/>
      <c r="C35" s="216" t="s">
        <v>94</v>
      </c>
      <c r="D35" s="198">
        <f t="shared" si="29"/>
        <v>0</v>
      </c>
      <c r="E35" s="198">
        <f t="shared" si="29"/>
        <v>0</v>
      </c>
      <c r="F35" s="198">
        <f t="shared" si="29"/>
        <v>0</v>
      </c>
      <c r="G35" s="198">
        <f t="shared" si="29"/>
        <v>0</v>
      </c>
      <c r="H35" s="198">
        <f t="shared" si="29"/>
        <v>0</v>
      </c>
      <c r="J35" s="242">
        <v>0.15</v>
      </c>
      <c r="K35" s="191"/>
      <c r="L35" s="216" t="s">
        <v>94</v>
      </c>
      <c r="M35" s="198">
        <f t="shared" si="33"/>
        <v>0</v>
      </c>
      <c r="N35" s="198">
        <f t="shared" si="33"/>
        <v>0</v>
      </c>
      <c r="O35" s="198">
        <f t="shared" si="33"/>
        <v>0</v>
      </c>
      <c r="P35" s="198">
        <f t="shared" si="33"/>
        <v>0</v>
      </c>
      <c r="Q35" s="198">
        <f t="shared" si="33"/>
        <v>0</v>
      </c>
      <c r="S35" s="242">
        <v>0.25</v>
      </c>
      <c r="T35" s="191"/>
      <c r="U35" s="216" t="s">
        <v>94</v>
      </c>
      <c r="V35" s="198">
        <f t="shared" si="34"/>
        <v>0</v>
      </c>
      <c r="W35" s="198">
        <f t="shared" si="34"/>
        <v>0</v>
      </c>
      <c r="X35" s="198">
        <f t="shared" si="34"/>
        <v>0</v>
      </c>
      <c r="Y35" s="198">
        <f t="shared" si="34"/>
        <v>0</v>
      </c>
      <c r="Z35" s="198">
        <f t="shared" si="34"/>
        <v>0</v>
      </c>
      <c r="AB35" s="242">
        <v>0</v>
      </c>
      <c r="AC35" s="191"/>
      <c r="AD35" s="216" t="s">
        <v>94</v>
      </c>
      <c r="AE35" s="198">
        <f t="shared" si="35"/>
        <v>0</v>
      </c>
      <c r="AF35" s="198">
        <f t="shared" si="35"/>
        <v>0</v>
      </c>
      <c r="AG35" s="198">
        <f t="shared" si="35"/>
        <v>0</v>
      </c>
      <c r="AH35" s="198">
        <f t="shared" si="35"/>
        <v>0</v>
      </c>
      <c r="AI35" s="198">
        <f t="shared" si="35"/>
        <v>0</v>
      </c>
      <c r="AK35" s="242"/>
    </row>
    <row r="36" spans="1:37" x14ac:dyDescent="0.15">
      <c r="A36" s="233">
        <v>0</v>
      </c>
      <c r="B36" s="191"/>
      <c r="C36" s="216" t="s">
        <v>454</v>
      </c>
      <c r="D36" s="198">
        <f t="shared" si="29"/>
        <v>0</v>
      </c>
      <c r="E36" s="198">
        <f t="shared" si="29"/>
        <v>0</v>
      </c>
      <c r="F36" s="198">
        <f t="shared" si="29"/>
        <v>0</v>
      </c>
      <c r="G36" s="198">
        <f t="shared" si="29"/>
        <v>0</v>
      </c>
      <c r="H36" s="198">
        <f t="shared" si="29"/>
        <v>0</v>
      </c>
      <c r="J36" s="242">
        <v>0.25</v>
      </c>
      <c r="K36" s="191"/>
      <c r="L36" s="216" t="s">
        <v>454</v>
      </c>
      <c r="M36" s="198">
        <f t="shared" si="33"/>
        <v>0</v>
      </c>
      <c r="N36" s="198">
        <f t="shared" si="33"/>
        <v>0</v>
      </c>
      <c r="O36" s="198">
        <f t="shared" si="33"/>
        <v>0</v>
      </c>
      <c r="P36" s="198">
        <f t="shared" si="33"/>
        <v>0</v>
      </c>
      <c r="Q36" s="198">
        <f t="shared" si="33"/>
        <v>0</v>
      </c>
      <c r="S36" s="242">
        <v>0</v>
      </c>
      <c r="T36" s="191"/>
      <c r="U36" s="216" t="s">
        <v>454</v>
      </c>
      <c r="V36" s="198">
        <f t="shared" si="34"/>
        <v>0</v>
      </c>
      <c r="W36" s="198">
        <f t="shared" si="34"/>
        <v>0</v>
      </c>
      <c r="X36" s="198">
        <f t="shared" si="34"/>
        <v>0</v>
      </c>
      <c r="Y36" s="198">
        <f t="shared" si="34"/>
        <v>0</v>
      </c>
      <c r="Z36" s="198">
        <f t="shared" si="34"/>
        <v>0</v>
      </c>
      <c r="AB36" s="242">
        <v>0.25</v>
      </c>
      <c r="AC36" s="191"/>
      <c r="AD36" s="216" t="s">
        <v>454</v>
      </c>
      <c r="AE36" s="198">
        <f t="shared" si="35"/>
        <v>0</v>
      </c>
      <c r="AF36" s="198">
        <f t="shared" si="35"/>
        <v>0</v>
      </c>
      <c r="AG36" s="198">
        <f t="shared" si="35"/>
        <v>0</v>
      </c>
      <c r="AH36" s="198">
        <f t="shared" si="35"/>
        <v>0</v>
      </c>
      <c r="AI36" s="198">
        <f t="shared" si="35"/>
        <v>0</v>
      </c>
      <c r="AK36" s="242"/>
    </row>
    <row r="37" spans="1:37" x14ac:dyDescent="0.15">
      <c r="A37" s="233">
        <v>0</v>
      </c>
      <c r="B37" s="191"/>
      <c r="C37" s="216" t="s">
        <v>434</v>
      </c>
      <c r="D37" s="198">
        <f t="shared" si="29"/>
        <v>0</v>
      </c>
      <c r="E37" s="198">
        <f t="shared" si="29"/>
        <v>0</v>
      </c>
      <c r="F37" s="198">
        <f t="shared" si="29"/>
        <v>0</v>
      </c>
      <c r="G37" s="198">
        <f t="shared" si="29"/>
        <v>0</v>
      </c>
      <c r="H37" s="198">
        <f t="shared" si="29"/>
        <v>0</v>
      </c>
      <c r="J37" s="242">
        <v>0</v>
      </c>
      <c r="K37" s="191"/>
      <c r="L37" s="216" t="s">
        <v>434</v>
      </c>
      <c r="M37" s="198">
        <f t="shared" si="33"/>
        <v>0</v>
      </c>
      <c r="N37" s="198">
        <f t="shared" si="33"/>
        <v>0</v>
      </c>
      <c r="O37" s="198">
        <f t="shared" si="33"/>
        <v>0</v>
      </c>
      <c r="P37" s="198">
        <f t="shared" si="33"/>
        <v>0</v>
      </c>
      <c r="Q37" s="198">
        <f t="shared" si="33"/>
        <v>0</v>
      </c>
      <c r="S37" s="242">
        <v>0</v>
      </c>
      <c r="T37" s="191"/>
      <c r="U37" s="216" t="s">
        <v>434</v>
      </c>
      <c r="V37" s="198">
        <f t="shared" si="34"/>
        <v>0</v>
      </c>
      <c r="W37" s="198">
        <f t="shared" si="34"/>
        <v>0</v>
      </c>
      <c r="X37" s="198">
        <f t="shared" si="34"/>
        <v>0</v>
      </c>
      <c r="Y37" s="198">
        <f t="shared" si="34"/>
        <v>0</v>
      </c>
      <c r="Z37" s="198">
        <f t="shared" si="34"/>
        <v>0</v>
      </c>
      <c r="AB37" s="242">
        <v>0.25</v>
      </c>
      <c r="AC37" s="191"/>
      <c r="AD37" s="216" t="s">
        <v>434</v>
      </c>
      <c r="AE37" s="198">
        <f t="shared" si="35"/>
        <v>0</v>
      </c>
      <c r="AF37" s="198">
        <f t="shared" si="35"/>
        <v>0</v>
      </c>
      <c r="AG37" s="198">
        <f t="shared" si="35"/>
        <v>0</v>
      </c>
      <c r="AH37" s="198">
        <f t="shared" si="35"/>
        <v>0</v>
      </c>
      <c r="AI37" s="198">
        <f t="shared" si="35"/>
        <v>0</v>
      </c>
      <c r="AK37" s="242"/>
    </row>
    <row r="38" spans="1:37" x14ac:dyDescent="0.15">
      <c r="A38" s="233">
        <v>0</v>
      </c>
      <c r="B38" s="191"/>
      <c r="C38" s="216" t="s">
        <v>449</v>
      </c>
      <c r="D38" s="198">
        <f t="shared" si="29"/>
        <v>0</v>
      </c>
      <c r="E38" s="198">
        <f t="shared" si="29"/>
        <v>0</v>
      </c>
      <c r="F38" s="198">
        <f t="shared" si="29"/>
        <v>0</v>
      </c>
      <c r="G38" s="198">
        <f t="shared" si="29"/>
        <v>0</v>
      </c>
      <c r="H38" s="198">
        <f t="shared" si="29"/>
        <v>0</v>
      </c>
      <c r="J38" s="242">
        <v>0</v>
      </c>
      <c r="K38" s="191"/>
      <c r="L38" s="216" t="s">
        <v>449</v>
      </c>
      <c r="M38" s="198">
        <f t="shared" si="33"/>
        <v>0</v>
      </c>
      <c r="N38" s="198">
        <f t="shared" si="33"/>
        <v>0</v>
      </c>
      <c r="O38" s="198">
        <f t="shared" si="33"/>
        <v>0</v>
      </c>
      <c r="P38" s="198">
        <f t="shared" si="33"/>
        <v>0</v>
      </c>
      <c r="Q38" s="198">
        <f t="shared" si="33"/>
        <v>0</v>
      </c>
      <c r="S38" s="242">
        <v>0</v>
      </c>
      <c r="T38" s="191"/>
      <c r="U38" s="216" t="s">
        <v>449</v>
      </c>
      <c r="V38" s="198">
        <f t="shared" si="34"/>
        <v>0</v>
      </c>
      <c r="W38" s="198">
        <f t="shared" si="34"/>
        <v>0</v>
      </c>
      <c r="X38" s="198">
        <f t="shared" si="34"/>
        <v>0</v>
      </c>
      <c r="Y38" s="198">
        <f t="shared" si="34"/>
        <v>0</v>
      </c>
      <c r="Z38" s="198">
        <f t="shared" si="34"/>
        <v>0</v>
      </c>
      <c r="AB38" s="242">
        <v>0.25</v>
      </c>
      <c r="AC38" s="191"/>
      <c r="AD38" s="216" t="s">
        <v>449</v>
      </c>
      <c r="AE38" s="198">
        <f t="shared" si="35"/>
        <v>0</v>
      </c>
      <c r="AF38" s="198">
        <f t="shared" si="35"/>
        <v>0</v>
      </c>
      <c r="AG38" s="198">
        <f t="shared" si="35"/>
        <v>0</v>
      </c>
      <c r="AH38" s="198">
        <f t="shared" si="35"/>
        <v>0</v>
      </c>
      <c r="AI38" s="198">
        <f t="shared" si="35"/>
        <v>0</v>
      </c>
      <c r="AK38" s="242"/>
    </row>
    <row r="39" spans="1:37" x14ac:dyDescent="0.15">
      <c r="B39" s="191"/>
      <c r="C39" s="203"/>
      <c r="D39" s="203"/>
      <c r="E39" s="203"/>
      <c r="F39" s="198"/>
      <c r="G39" s="203"/>
      <c r="H39" s="203"/>
      <c r="J39" s="242"/>
      <c r="K39" s="191"/>
      <c r="L39" s="203"/>
      <c r="M39" s="203"/>
      <c r="N39" s="203"/>
      <c r="O39" s="198"/>
      <c r="P39" s="203"/>
      <c r="Q39" s="203"/>
      <c r="S39" s="242"/>
      <c r="T39" s="191"/>
      <c r="U39" s="203"/>
      <c r="V39" s="203"/>
      <c r="W39" s="203"/>
      <c r="X39" s="198"/>
      <c r="Y39" s="203"/>
      <c r="Z39" s="203"/>
      <c r="AC39" s="191"/>
      <c r="AD39" s="203"/>
      <c r="AE39" s="203"/>
      <c r="AF39" s="203"/>
      <c r="AG39" s="198"/>
      <c r="AH39" s="203"/>
      <c r="AI39" s="203"/>
      <c r="AK39" s="242"/>
    </row>
    <row r="40" spans="1:37" x14ac:dyDescent="0.15">
      <c r="B40" s="207" t="s">
        <v>439</v>
      </c>
      <c r="C40" s="207"/>
      <c r="D40" s="208">
        <f>$E$3</f>
        <v>0</v>
      </c>
      <c r="E40" s="208">
        <f>$E$3</f>
        <v>0</v>
      </c>
      <c r="F40" s="208">
        <f t="shared" ref="F40:H40" si="36">$E$3</f>
        <v>0</v>
      </c>
      <c r="G40" s="208">
        <f t="shared" si="36"/>
        <v>0</v>
      </c>
      <c r="H40" s="208">
        <f t="shared" si="36"/>
        <v>0</v>
      </c>
      <c r="J40" s="242"/>
      <c r="K40" s="207" t="s">
        <v>439</v>
      </c>
      <c r="L40" s="207"/>
      <c r="M40" s="208">
        <f>$N$3</f>
        <v>0</v>
      </c>
      <c r="N40" s="208">
        <f t="shared" ref="N40:Q40" si="37">$N$3</f>
        <v>0</v>
      </c>
      <c r="O40" s="208">
        <f t="shared" si="37"/>
        <v>0</v>
      </c>
      <c r="P40" s="208">
        <f t="shared" si="37"/>
        <v>0</v>
      </c>
      <c r="Q40" s="208">
        <f t="shared" si="37"/>
        <v>0</v>
      </c>
      <c r="S40" s="242"/>
      <c r="T40" s="207" t="s">
        <v>439</v>
      </c>
      <c r="U40" s="207"/>
      <c r="V40" s="208">
        <f>$W$3</f>
        <v>0</v>
      </c>
      <c r="W40" s="208">
        <f t="shared" ref="W40:Z40" si="38">$W$3</f>
        <v>0</v>
      </c>
      <c r="X40" s="208">
        <f t="shared" si="38"/>
        <v>0</v>
      </c>
      <c r="Y40" s="208">
        <f t="shared" si="38"/>
        <v>0</v>
      </c>
      <c r="Z40" s="208">
        <f t="shared" si="38"/>
        <v>0</v>
      </c>
      <c r="AC40" s="207" t="s">
        <v>439</v>
      </c>
      <c r="AD40" s="207"/>
      <c r="AE40" s="208">
        <f>$AF$3</f>
        <v>0</v>
      </c>
      <c r="AF40" s="208">
        <f t="shared" ref="AF40:AI40" si="39">$AF$3</f>
        <v>0</v>
      </c>
      <c r="AG40" s="208">
        <f t="shared" si="39"/>
        <v>0</v>
      </c>
      <c r="AH40" s="208">
        <f t="shared" si="39"/>
        <v>0</v>
      </c>
      <c r="AI40" s="208">
        <f t="shared" si="39"/>
        <v>0</v>
      </c>
      <c r="AK40" s="242"/>
    </row>
    <row r="41" spans="1:37" s="210" customFormat="1" x14ac:dyDescent="0.15">
      <c r="A41" s="238">
        <v>0.2</v>
      </c>
      <c r="B41" s="209"/>
      <c r="C41" s="199" t="s">
        <v>49</v>
      </c>
      <c r="D41" s="198">
        <f t="shared" ref="D41:H48" si="40">$A41*D$40</f>
        <v>0</v>
      </c>
      <c r="E41" s="198">
        <f t="shared" si="40"/>
        <v>0</v>
      </c>
      <c r="F41" s="198">
        <f t="shared" si="40"/>
        <v>0</v>
      </c>
      <c r="G41" s="198">
        <f t="shared" si="40"/>
        <v>0</v>
      </c>
      <c r="H41" s="198">
        <f t="shared" si="40"/>
        <v>0</v>
      </c>
      <c r="J41" s="245">
        <v>0.2</v>
      </c>
      <c r="K41" s="209"/>
      <c r="L41" s="199" t="s">
        <v>49</v>
      </c>
      <c r="M41" s="198">
        <f>$J41*M$40</f>
        <v>0</v>
      </c>
      <c r="N41" s="198">
        <f t="shared" ref="N41:Q41" si="41">$J41*N$40</f>
        <v>0</v>
      </c>
      <c r="O41" s="198">
        <f t="shared" si="41"/>
        <v>0</v>
      </c>
      <c r="P41" s="198">
        <f t="shared" si="41"/>
        <v>0</v>
      </c>
      <c r="Q41" s="198">
        <f t="shared" si="41"/>
        <v>0</v>
      </c>
      <c r="S41" s="245">
        <v>0.2</v>
      </c>
      <c r="T41" s="209"/>
      <c r="U41" s="199" t="s">
        <v>49</v>
      </c>
      <c r="V41" s="198">
        <f>$S41*V$40</f>
        <v>0</v>
      </c>
      <c r="W41" s="198">
        <f t="shared" ref="W41:Z41" si="42">$S41*W$40</f>
        <v>0</v>
      </c>
      <c r="X41" s="198">
        <f t="shared" si="42"/>
        <v>0</v>
      </c>
      <c r="Y41" s="198">
        <f t="shared" si="42"/>
        <v>0</v>
      </c>
      <c r="Z41" s="198">
        <f t="shared" si="42"/>
        <v>0</v>
      </c>
      <c r="AB41" s="245">
        <v>0.2</v>
      </c>
      <c r="AC41" s="209"/>
      <c r="AD41" s="199" t="s">
        <v>49</v>
      </c>
      <c r="AE41" s="198">
        <f>$AB41*AE$40</f>
        <v>0</v>
      </c>
      <c r="AF41" s="198">
        <f t="shared" ref="AF41:AI41" si="43">$AB41*AF$40</f>
        <v>0</v>
      </c>
      <c r="AG41" s="198">
        <f t="shared" si="43"/>
        <v>0</v>
      </c>
      <c r="AH41" s="198">
        <f t="shared" si="43"/>
        <v>0</v>
      </c>
      <c r="AI41" s="198">
        <f t="shared" si="43"/>
        <v>0</v>
      </c>
      <c r="AK41" s="245"/>
    </row>
    <row r="42" spans="1:37" s="210" customFormat="1" x14ac:dyDescent="0.15">
      <c r="A42" s="238">
        <v>0.2</v>
      </c>
      <c r="B42" s="209"/>
      <c r="C42" s="199" t="s">
        <v>51</v>
      </c>
      <c r="D42" s="198">
        <f t="shared" si="40"/>
        <v>0</v>
      </c>
      <c r="E42" s="198">
        <f t="shared" si="40"/>
        <v>0</v>
      </c>
      <c r="F42" s="198">
        <f t="shared" si="40"/>
        <v>0</v>
      </c>
      <c r="G42" s="198">
        <f t="shared" si="40"/>
        <v>0</v>
      </c>
      <c r="H42" s="198">
        <f t="shared" si="40"/>
        <v>0</v>
      </c>
      <c r="J42" s="245">
        <v>0.2</v>
      </c>
      <c r="K42" s="209"/>
      <c r="L42" s="199" t="s">
        <v>51</v>
      </c>
      <c r="M42" s="198">
        <f t="shared" ref="M42:Q48" si="44">$J42*M$40</f>
        <v>0</v>
      </c>
      <c r="N42" s="198">
        <f t="shared" si="44"/>
        <v>0</v>
      </c>
      <c r="O42" s="198">
        <f t="shared" si="44"/>
        <v>0</v>
      </c>
      <c r="P42" s="198">
        <f t="shared" si="44"/>
        <v>0</v>
      </c>
      <c r="Q42" s="198">
        <f t="shared" si="44"/>
        <v>0</v>
      </c>
      <c r="S42" s="245">
        <v>0.2</v>
      </c>
      <c r="T42" s="209"/>
      <c r="U42" s="199" t="s">
        <v>51</v>
      </c>
      <c r="V42" s="198">
        <f t="shared" ref="V42:Z48" si="45">$S42*V$40</f>
        <v>0</v>
      </c>
      <c r="W42" s="198">
        <f t="shared" si="45"/>
        <v>0</v>
      </c>
      <c r="X42" s="198">
        <f t="shared" si="45"/>
        <v>0</v>
      </c>
      <c r="Y42" s="198">
        <f t="shared" si="45"/>
        <v>0</v>
      </c>
      <c r="Z42" s="198">
        <f t="shared" si="45"/>
        <v>0</v>
      </c>
      <c r="AB42" s="245">
        <v>0.2</v>
      </c>
      <c r="AC42" s="209"/>
      <c r="AD42" s="199" t="s">
        <v>51</v>
      </c>
      <c r="AE42" s="198">
        <f t="shared" ref="AE42:AI48" si="46">$AB42*AE$40</f>
        <v>0</v>
      </c>
      <c r="AF42" s="198">
        <f t="shared" si="46"/>
        <v>0</v>
      </c>
      <c r="AG42" s="198">
        <f t="shared" si="46"/>
        <v>0</v>
      </c>
      <c r="AH42" s="198">
        <f t="shared" si="46"/>
        <v>0</v>
      </c>
      <c r="AI42" s="198">
        <f t="shared" si="46"/>
        <v>0</v>
      </c>
      <c r="AK42" s="245"/>
    </row>
    <row r="43" spans="1:37" s="210" customFormat="1" x14ac:dyDescent="0.15">
      <c r="A43" s="238">
        <v>0.2</v>
      </c>
      <c r="B43" s="209"/>
      <c r="C43" s="199" t="s">
        <v>54</v>
      </c>
      <c r="D43" s="198">
        <f t="shared" si="40"/>
        <v>0</v>
      </c>
      <c r="E43" s="198">
        <f t="shared" si="40"/>
        <v>0</v>
      </c>
      <c r="F43" s="198">
        <f t="shared" si="40"/>
        <v>0</v>
      </c>
      <c r="G43" s="198">
        <f t="shared" si="40"/>
        <v>0</v>
      </c>
      <c r="H43" s="198">
        <f t="shared" si="40"/>
        <v>0</v>
      </c>
      <c r="J43" s="245">
        <v>0.2</v>
      </c>
      <c r="K43" s="209"/>
      <c r="L43" s="199" t="s">
        <v>54</v>
      </c>
      <c r="M43" s="198">
        <f t="shared" si="44"/>
        <v>0</v>
      </c>
      <c r="N43" s="198">
        <f t="shared" si="44"/>
        <v>0</v>
      </c>
      <c r="O43" s="198">
        <f t="shared" si="44"/>
        <v>0</v>
      </c>
      <c r="P43" s="198">
        <f t="shared" si="44"/>
        <v>0</v>
      </c>
      <c r="Q43" s="198">
        <f t="shared" si="44"/>
        <v>0</v>
      </c>
      <c r="S43" s="245">
        <v>0.2</v>
      </c>
      <c r="T43" s="209"/>
      <c r="U43" s="199" t="s">
        <v>54</v>
      </c>
      <c r="V43" s="198">
        <f t="shared" si="45"/>
        <v>0</v>
      </c>
      <c r="W43" s="198">
        <f t="shared" si="45"/>
        <v>0</v>
      </c>
      <c r="X43" s="198">
        <f t="shared" si="45"/>
        <v>0</v>
      </c>
      <c r="Y43" s="198">
        <f t="shared" si="45"/>
        <v>0</v>
      </c>
      <c r="Z43" s="198">
        <f t="shared" si="45"/>
        <v>0</v>
      </c>
      <c r="AB43" s="245">
        <v>0.2</v>
      </c>
      <c r="AC43" s="209"/>
      <c r="AD43" s="199" t="s">
        <v>54</v>
      </c>
      <c r="AE43" s="198">
        <f t="shared" si="46"/>
        <v>0</v>
      </c>
      <c r="AF43" s="198">
        <f t="shared" si="46"/>
        <v>0</v>
      </c>
      <c r="AG43" s="198">
        <f t="shared" si="46"/>
        <v>0</v>
      </c>
      <c r="AH43" s="198">
        <f t="shared" si="46"/>
        <v>0</v>
      </c>
      <c r="AI43" s="198">
        <f t="shared" si="46"/>
        <v>0</v>
      </c>
      <c r="AK43" s="245"/>
    </row>
    <row r="44" spans="1:37" x14ac:dyDescent="0.15">
      <c r="A44" s="238">
        <v>0.2</v>
      </c>
      <c r="B44" s="191"/>
      <c r="C44" s="199" t="s">
        <v>95</v>
      </c>
      <c r="D44" s="198">
        <f t="shared" si="40"/>
        <v>0</v>
      </c>
      <c r="E44" s="198">
        <f t="shared" si="40"/>
        <v>0</v>
      </c>
      <c r="F44" s="198">
        <f t="shared" si="40"/>
        <v>0</v>
      </c>
      <c r="G44" s="198">
        <f t="shared" si="40"/>
        <v>0</v>
      </c>
      <c r="H44" s="198">
        <f t="shared" si="40"/>
        <v>0</v>
      </c>
      <c r="J44" s="245">
        <v>0.2</v>
      </c>
      <c r="K44" s="191"/>
      <c r="L44" s="199" t="s">
        <v>95</v>
      </c>
      <c r="M44" s="198">
        <f t="shared" si="44"/>
        <v>0</v>
      </c>
      <c r="N44" s="198">
        <f t="shared" si="44"/>
        <v>0</v>
      </c>
      <c r="O44" s="198">
        <f t="shared" si="44"/>
        <v>0</v>
      </c>
      <c r="P44" s="198">
        <f t="shared" si="44"/>
        <v>0</v>
      </c>
      <c r="Q44" s="198">
        <f t="shared" si="44"/>
        <v>0</v>
      </c>
      <c r="S44" s="245">
        <v>0.2</v>
      </c>
      <c r="T44" s="191"/>
      <c r="U44" s="199" t="s">
        <v>95</v>
      </c>
      <c r="V44" s="198">
        <f t="shared" si="45"/>
        <v>0</v>
      </c>
      <c r="W44" s="198">
        <f t="shared" si="45"/>
        <v>0</v>
      </c>
      <c r="X44" s="198">
        <f t="shared" si="45"/>
        <v>0</v>
      </c>
      <c r="Y44" s="198">
        <f t="shared" si="45"/>
        <v>0</v>
      </c>
      <c r="Z44" s="198">
        <f t="shared" si="45"/>
        <v>0</v>
      </c>
      <c r="AB44" s="245">
        <v>0.2</v>
      </c>
      <c r="AC44" s="191"/>
      <c r="AD44" s="199" t="s">
        <v>95</v>
      </c>
      <c r="AE44" s="198">
        <f t="shared" si="46"/>
        <v>0</v>
      </c>
      <c r="AF44" s="198">
        <f t="shared" si="46"/>
        <v>0</v>
      </c>
      <c r="AG44" s="198">
        <f t="shared" si="46"/>
        <v>0</v>
      </c>
      <c r="AH44" s="198">
        <f t="shared" si="46"/>
        <v>0</v>
      </c>
      <c r="AI44" s="198">
        <f t="shared" si="46"/>
        <v>0</v>
      </c>
      <c r="AK44" s="245"/>
    </row>
    <row r="45" spans="1:37" x14ac:dyDescent="0.15">
      <c r="A45" s="238">
        <v>0.2</v>
      </c>
      <c r="B45" s="191"/>
      <c r="C45" s="199" t="s">
        <v>57</v>
      </c>
      <c r="D45" s="198">
        <f t="shared" si="40"/>
        <v>0</v>
      </c>
      <c r="E45" s="198">
        <f t="shared" si="40"/>
        <v>0</v>
      </c>
      <c r="F45" s="198">
        <f t="shared" si="40"/>
        <v>0</v>
      </c>
      <c r="G45" s="198">
        <f t="shared" si="40"/>
        <v>0</v>
      </c>
      <c r="H45" s="198">
        <f t="shared" si="40"/>
        <v>0</v>
      </c>
      <c r="J45" s="245">
        <v>0.2</v>
      </c>
      <c r="K45" s="191"/>
      <c r="L45" s="199" t="s">
        <v>57</v>
      </c>
      <c r="M45" s="198">
        <f t="shared" si="44"/>
        <v>0</v>
      </c>
      <c r="N45" s="198">
        <f t="shared" si="44"/>
        <v>0</v>
      </c>
      <c r="O45" s="198">
        <f t="shared" si="44"/>
        <v>0</v>
      </c>
      <c r="P45" s="198">
        <f t="shared" si="44"/>
        <v>0</v>
      </c>
      <c r="Q45" s="198">
        <f t="shared" si="44"/>
        <v>0</v>
      </c>
      <c r="S45" s="245">
        <v>0.2</v>
      </c>
      <c r="T45" s="191"/>
      <c r="U45" s="199" t="s">
        <v>57</v>
      </c>
      <c r="V45" s="198">
        <f t="shared" si="45"/>
        <v>0</v>
      </c>
      <c r="W45" s="198">
        <f t="shared" si="45"/>
        <v>0</v>
      </c>
      <c r="X45" s="198">
        <f t="shared" si="45"/>
        <v>0</v>
      </c>
      <c r="Y45" s="198">
        <f t="shared" si="45"/>
        <v>0</v>
      </c>
      <c r="Z45" s="198">
        <f t="shared" si="45"/>
        <v>0</v>
      </c>
      <c r="AB45" s="245">
        <v>0.2</v>
      </c>
      <c r="AC45" s="191"/>
      <c r="AD45" s="199" t="s">
        <v>57</v>
      </c>
      <c r="AE45" s="198">
        <f t="shared" si="46"/>
        <v>0</v>
      </c>
      <c r="AF45" s="198">
        <f t="shared" si="46"/>
        <v>0</v>
      </c>
      <c r="AG45" s="198">
        <f t="shared" si="46"/>
        <v>0</v>
      </c>
      <c r="AH45" s="198">
        <f t="shared" si="46"/>
        <v>0</v>
      </c>
      <c r="AI45" s="198">
        <f t="shared" si="46"/>
        <v>0</v>
      </c>
      <c r="AK45" s="245"/>
    </row>
    <row r="46" spans="1:37" x14ac:dyDescent="0.15">
      <c r="A46" s="238">
        <v>0</v>
      </c>
      <c r="B46" s="191"/>
      <c r="C46" s="199" t="s">
        <v>450</v>
      </c>
      <c r="D46" s="198">
        <f t="shared" si="40"/>
        <v>0</v>
      </c>
      <c r="E46" s="198">
        <f t="shared" si="40"/>
        <v>0</v>
      </c>
      <c r="F46" s="198">
        <f t="shared" si="40"/>
        <v>0</v>
      </c>
      <c r="G46" s="198">
        <f t="shared" si="40"/>
        <v>0</v>
      </c>
      <c r="H46" s="198">
        <f t="shared" si="40"/>
        <v>0</v>
      </c>
      <c r="J46" s="245">
        <v>0</v>
      </c>
      <c r="K46" s="191"/>
      <c r="L46" s="199" t="s">
        <v>450</v>
      </c>
      <c r="M46" s="198">
        <f t="shared" si="44"/>
        <v>0</v>
      </c>
      <c r="N46" s="198">
        <f t="shared" si="44"/>
        <v>0</v>
      </c>
      <c r="O46" s="198">
        <f t="shared" si="44"/>
        <v>0</v>
      </c>
      <c r="P46" s="198">
        <f t="shared" si="44"/>
        <v>0</v>
      </c>
      <c r="Q46" s="198">
        <f t="shared" si="44"/>
        <v>0</v>
      </c>
      <c r="S46" s="245">
        <v>0</v>
      </c>
      <c r="T46" s="191"/>
      <c r="U46" s="199" t="s">
        <v>450</v>
      </c>
      <c r="V46" s="198">
        <f t="shared" si="45"/>
        <v>0</v>
      </c>
      <c r="W46" s="198">
        <f t="shared" si="45"/>
        <v>0</v>
      </c>
      <c r="X46" s="198">
        <f t="shared" si="45"/>
        <v>0</v>
      </c>
      <c r="Y46" s="198">
        <f t="shared" si="45"/>
        <v>0</v>
      </c>
      <c r="Z46" s="198">
        <f t="shared" si="45"/>
        <v>0</v>
      </c>
      <c r="AB46" s="245">
        <v>0</v>
      </c>
      <c r="AC46" s="191"/>
      <c r="AD46" s="199" t="s">
        <v>450</v>
      </c>
      <c r="AE46" s="198">
        <f t="shared" si="46"/>
        <v>0</v>
      </c>
      <c r="AF46" s="198">
        <f t="shared" si="46"/>
        <v>0</v>
      </c>
      <c r="AG46" s="198">
        <f t="shared" si="46"/>
        <v>0</v>
      </c>
      <c r="AH46" s="198">
        <f t="shared" si="46"/>
        <v>0</v>
      </c>
      <c r="AI46" s="198">
        <f t="shared" si="46"/>
        <v>0</v>
      </c>
      <c r="AK46" s="245"/>
    </row>
    <row r="47" spans="1:37" x14ac:dyDescent="0.15">
      <c r="A47" s="238">
        <v>0</v>
      </c>
      <c r="B47" s="191"/>
      <c r="C47" s="199" t="s">
        <v>450</v>
      </c>
      <c r="D47" s="198">
        <f t="shared" si="40"/>
        <v>0</v>
      </c>
      <c r="E47" s="198">
        <f t="shared" si="40"/>
        <v>0</v>
      </c>
      <c r="F47" s="198">
        <f t="shared" si="40"/>
        <v>0</v>
      </c>
      <c r="G47" s="198">
        <f t="shared" si="40"/>
        <v>0</v>
      </c>
      <c r="H47" s="198">
        <f t="shared" si="40"/>
        <v>0</v>
      </c>
      <c r="J47" s="245">
        <v>0</v>
      </c>
      <c r="K47" s="191"/>
      <c r="L47" s="199" t="s">
        <v>450</v>
      </c>
      <c r="M47" s="198">
        <f t="shared" si="44"/>
        <v>0</v>
      </c>
      <c r="N47" s="198">
        <f t="shared" si="44"/>
        <v>0</v>
      </c>
      <c r="O47" s="198">
        <f t="shared" si="44"/>
        <v>0</v>
      </c>
      <c r="P47" s="198">
        <f t="shared" si="44"/>
        <v>0</v>
      </c>
      <c r="Q47" s="198">
        <f t="shared" si="44"/>
        <v>0</v>
      </c>
      <c r="S47" s="245">
        <v>0</v>
      </c>
      <c r="T47" s="191"/>
      <c r="U47" s="199" t="s">
        <v>450</v>
      </c>
      <c r="V47" s="198">
        <f t="shared" si="45"/>
        <v>0</v>
      </c>
      <c r="W47" s="198">
        <f t="shared" si="45"/>
        <v>0</v>
      </c>
      <c r="X47" s="198">
        <f t="shared" si="45"/>
        <v>0</v>
      </c>
      <c r="Y47" s="198">
        <f t="shared" si="45"/>
        <v>0</v>
      </c>
      <c r="Z47" s="198">
        <f t="shared" si="45"/>
        <v>0</v>
      </c>
      <c r="AB47" s="245">
        <v>0</v>
      </c>
      <c r="AC47" s="191"/>
      <c r="AD47" s="199" t="s">
        <v>450</v>
      </c>
      <c r="AE47" s="198">
        <f t="shared" si="46"/>
        <v>0</v>
      </c>
      <c r="AF47" s="198">
        <f t="shared" si="46"/>
        <v>0</v>
      </c>
      <c r="AG47" s="198">
        <f t="shared" si="46"/>
        <v>0</v>
      </c>
      <c r="AH47" s="198">
        <f t="shared" si="46"/>
        <v>0</v>
      </c>
      <c r="AI47" s="198">
        <f t="shared" si="46"/>
        <v>0</v>
      </c>
      <c r="AK47" s="245"/>
    </row>
    <row r="48" spans="1:37" x14ac:dyDescent="0.15">
      <c r="A48" s="238">
        <v>0</v>
      </c>
      <c r="B48" s="191"/>
      <c r="C48" s="199" t="s">
        <v>450</v>
      </c>
      <c r="D48" s="198">
        <f t="shared" si="40"/>
        <v>0</v>
      </c>
      <c r="E48" s="198">
        <f t="shared" si="40"/>
        <v>0</v>
      </c>
      <c r="F48" s="198">
        <f t="shared" si="40"/>
        <v>0</v>
      </c>
      <c r="G48" s="198">
        <f t="shared" si="40"/>
        <v>0</v>
      </c>
      <c r="H48" s="198">
        <f t="shared" si="40"/>
        <v>0</v>
      </c>
      <c r="J48" s="245">
        <v>0</v>
      </c>
      <c r="K48" s="191"/>
      <c r="L48" s="199" t="s">
        <v>450</v>
      </c>
      <c r="M48" s="198">
        <f t="shared" si="44"/>
        <v>0</v>
      </c>
      <c r="N48" s="198">
        <f t="shared" si="44"/>
        <v>0</v>
      </c>
      <c r="O48" s="198">
        <f t="shared" si="44"/>
        <v>0</v>
      </c>
      <c r="P48" s="198">
        <f t="shared" si="44"/>
        <v>0</v>
      </c>
      <c r="Q48" s="198">
        <f t="shared" si="44"/>
        <v>0</v>
      </c>
      <c r="S48" s="245">
        <v>0</v>
      </c>
      <c r="T48" s="191"/>
      <c r="U48" s="199" t="s">
        <v>450</v>
      </c>
      <c r="V48" s="198">
        <f t="shared" si="45"/>
        <v>0</v>
      </c>
      <c r="W48" s="198">
        <f t="shared" si="45"/>
        <v>0</v>
      </c>
      <c r="X48" s="198">
        <f t="shared" si="45"/>
        <v>0</v>
      </c>
      <c r="Y48" s="198">
        <f t="shared" si="45"/>
        <v>0</v>
      </c>
      <c r="Z48" s="198">
        <f t="shared" si="45"/>
        <v>0</v>
      </c>
      <c r="AB48" s="245">
        <v>0</v>
      </c>
      <c r="AC48" s="191"/>
      <c r="AD48" s="199" t="s">
        <v>450</v>
      </c>
      <c r="AE48" s="198">
        <f t="shared" si="46"/>
        <v>0</v>
      </c>
      <c r="AF48" s="198">
        <f t="shared" si="46"/>
        <v>0</v>
      </c>
      <c r="AG48" s="198">
        <f t="shared" si="46"/>
        <v>0</v>
      </c>
      <c r="AH48" s="198">
        <f t="shared" si="46"/>
        <v>0</v>
      </c>
      <c r="AI48" s="198">
        <f t="shared" si="46"/>
        <v>0</v>
      </c>
      <c r="AK48" s="245"/>
    </row>
    <row r="49" spans="1:37" x14ac:dyDescent="0.15">
      <c r="B49" s="191"/>
      <c r="C49" s="203"/>
      <c r="D49" s="203"/>
      <c r="E49" s="203"/>
      <c r="F49" s="198"/>
      <c r="G49" s="203"/>
      <c r="H49" s="203"/>
      <c r="J49" s="242"/>
      <c r="K49" s="191"/>
      <c r="L49" s="203"/>
      <c r="M49" s="203"/>
      <c r="N49" s="203"/>
      <c r="O49" s="198"/>
      <c r="P49" s="203"/>
      <c r="Q49" s="203"/>
      <c r="S49" s="242"/>
      <c r="T49" s="191"/>
      <c r="U49" s="203"/>
      <c r="V49" s="203"/>
      <c r="W49" s="203"/>
      <c r="X49" s="198"/>
      <c r="Y49" s="203"/>
      <c r="Z49" s="203"/>
      <c r="AC49" s="191"/>
      <c r="AD49" s="203"/>
      <c r="AE49" s="203"/>
      <c r="AF49" s="203"/>
      <c r="AG49" s="198"/>
      <c r="AH49" s="203"/>
      <c r="AI49" s="203"/>
      <c r="AK49" s="242"/>
    </row>
    <row r="50" spans="1:37" x14ac:dyDescent="0.15">
      <c r="B50" s="211" t="s">
        <v>440</v>
      </c>
      <c r="C50" s="211"/>
      <c r="D50" s="212">
        <f>$H$3</f>
        <v>0</v>
      </c>
      <c r="E50" s="212">
        <f t="shared" ref="E50:H50" si="47">$H$3</f>
        <v>0</v>
      </c>
      <c r="F50" s="212">
        <f t="shared" si="47"/>
        <v>0</v>
      </c>
      <c r="G50" s="212">
        <f t="shared" si="47"/>
        <v>0</v>
      </c>
      <c r="H50" s="212">
        <f t="shared" si="47"/>
        <v>0</v>
      </c>
      <c r="J50" s="242"/>
      <c r="K50" s="211" t="s">
        <v>440</v>
      </c>
      <c r="L50" s="211"/>
      <c r="M50" s="212">
        <f>$Q$3</f>
        <v>0</v>
      </c>
      <c r="N50" s="212">
        <f t="shared" ref="N50:Q50" si="48">$Q$3</f>
        <v>0</v>
      </c>
      <c r="O50" s="212">
        <f t="shared" si="48"/>
        <v>0</v>
      </c>
      <c r="P50" s="212">
        <f t="shared" si="48"/>
        <v>0</v>
      </c>
      <c r="Q50" s="212">
        <f t="shared" si="48"/>
        <v>0</v>
      </c>
      <c r="S50" s="242"/>
      <c r="T50" s="211" t="s">
        <v>440</v>
      </c>
      <c r="U50" s="211"/>
      <c r="V50" s="212">
        <f>$Z$3</f>
        <v>0</v>
      </c>
      <c r="W50" s="212">
        <f t="shared" ref="W50:Z50" si="49">$Z$3</f>
        <v>0</v>
      </c>
      <c r="X50" s="212">
        <f t="shared" si="49"/>
        <v>0</v>
      </c>
      <c r="Y50" s="212">
        <f t="shared" si="49"/>
        <v>0</v>
      </c>
      <c r="Z50" s="212">
        <f t="shared" si="49"/>
        <v>0</v>
      </c>
      <c r="AC50" s="211" t="s">
        <v>440</v>
      </c>
      <c r="AD50" s="211"/>
      <c r="AE50" s="212">
        <f>$AI$3</f>
        <v>0</v>
      </c>
      <c r="AF50" s="212">
        <f t="shared" ref="AF50:AI50" si="50">$AI$3</f>
        <v>0</v>
      </c>
      <c r="AG50" s="212">
        <f t="shared" si="50"/>
        <v>0</v>
      </c>
      <c r="AH50" s="212">
        <f t="shared" si="50"/>
        <v>0</v>
      </c>
      <c r="AI50" s="212">
        <f t="shared" si="50"/>
        <v>0</v>
      </c>
      <c r="AK50" s="242"/>
    </row>
    <row r="51" spans="1:37" x14ac:dyDescent="0.15">
      <c r="A51" s="233">
        <v>0.5</v>
      </c>
      <c r="C51" s="187" t="s">
        <v>431</v>
      </c>
      <c r="D51" s="198">
        <f t="shared" ref="D51:H56" si="51">$A51*D$50</f>
        <v>0</v>
      </c>
      <c r="E51" s="198">
        <f t="shared" si="51"/>
        <v>0</v>
      </c>
      <c r="F51" s="198">
        <f t="shared" si="51"/>
        <v>0</v>
      </c>
      <c r="G51" s="198">
        <f t="shared" si="51"/>
        <v>0</v>
      </c>
      <c r="H51" s="198">
        <f t="shared" si="51"/>
        <v>0</v>
      </c>
      <c r="I51" s="198"/>
      <c r="J51" s="242">
        <v>0.5</v>
      </c>
      <c r="L51" s="187" t="s">
        <v>431</v>
      </c>
      <c r="M51" s="198">
        <f>$J51*M$50</f>
        <v>0</v>
      </c>
      <c r="N51" s="198">
        <f t="shared" ref="N51:Q56" si="52">$J51*N$50</f>
        <v>0</v>
      </c>
      <c r="O51" s="198">
        <f t="shared" si="52"/>
        <v>0</v>
      </c>
      <c r="P51" s="198">
        <f t="shared" si="52"/>
        <v>0</v>
      </c>
      <c r="Q51" s="198">
        <f t="shared" si="52"/>
        <v>0</v>
      </c>
      <c r="S51" s="242">
        <v>0.5</v>
      </c>
      <c r="U51" s="187" t="s">
        <v>431</v>
      </c>
      <c r="V51" s="198">
        <f>$S51*V$50</f>
        <v>0</v>
      </c>
      <c r="W51" s="198">
        <f t="shared" ref="W51:Z51" si="53">$S51*W$50</f>
        <v>0</v>
      </c>
      <c r="X51" s="198">
        <f t="shared" si="53"/>
        <v>0</v>
      </c>
      <c r="Y51" s="198">
        <f t="shared" si="53"/>
        <v>0</v>
      </c>
      <c r="Z51" s="198">
        <f t="shared" si="53"/>
        <v>0</v>
      </c>
      <c r="AB51" s="242">
        <v>0.5</v>
      </c>
      <c r="AD51" s="187" t="s">
        <v>431</v>
      </c>
      <c r="AE51" s="198">
        <f>$AB51*AE$50</f>
        <v>0</v>
      </c>
      <c r="AF51" s="198">
        <f t="shared" ref="AF51:AI51" si="54">$AB51*AF$50</f>
        <v>0</v>
      </c>
      <c r="AG51" s="198">
        <f t="shared" si="54"/>
        <v>0</v>
      </c>
      <c r="AH51" s="198">
        <f t="shared" si="54"/>
        <v>0</v>
      </c>
      <c r="AI51" s="198">
        <f t="shared" si="54"/>
        <v>0</v>
      </c>
      <c r="AK51" s="242"/>
    </row>
    <row r="52" spans="1:37" x14ac:dyDescent="0.15">
      <c r="A52" s="233">
        <v>0.5</v>
      </c>
      <c r="C52" s="187" t="s">
        <v>433</v>
      </c>
      <c r="D52" s="198">
        <f t="shared" si="51"/>
        <v>0</v>
      </c>
      <c r="E52" s="198">
        <f t="shared" si="51"/>
        <v>0</v>
      </c>
      <c r="F52" s="198">
        <f t="shared" si="51"/>
        <v>0</v>
      </c>
      <c r="G52" s="198">
        <f t="shared" si="51"/>
        <v>0</v>
      </c>
      <c r="H52" s="198">
        <f t="shared" si="51"/>
        <v>0</v>
      </c>
      <c r="I52" s="198"/>
      <c r="J52" s="242">
        <v>0.5</v>
      </c>
      <c r="L52" s="187" t="s">
        <v>433</v>
      </c>
      <c r="M52" s="198">
        <f>$J52*M$50</f>
        <v>0</v>
      </c>
      <c r="N52" s="198">
        <f t="shared" si="52"/>
        <v>0</v>
      </c>
      <c r="O52" s="198">
        <f t="shared" si="52"/>
        <v>0</v>
      </c>
      <c r="P52" s="198">
        <f t="shared" si="52"/>
        <v>0</v>
      </c>
      <c r="Q52" s="198">
        <f t="shared" si="52"/>
        <v>0</v>
      </c>
      <c r="S52" s="242">
        <v>0.5</v>
      </c>
      <c r="U52" s="187" t="s">
        <v>433</v>
      </c>
      <c r="V52" s="198">
        <f t="shared" ref="V52:Z56" si="55">$S52*V$50</f>
        <v>0</v>
      </c>
      <c r="W52" s="198">
        <f t="shared" si="55"/>
        <v>0</v>
      </c>
      <c r="X52" s="198">
        <f t="shared" si="55"/>
        <v>0</v>
      </c>
      <c r="Y52" s="198">
        <f t="shared" si="55"/>
        <v>0</v>
      </c>
      <c r="Z52" s="198">
        <f t="shared" si="55"/>
        <v>0</v>
      </c>
      <c r="AB52" s="242">
        <v>0.5</v>
      </c>
      <c r="AD52" s="187" t="s">
        <v>433</v>
      </c>
      <c r="AE52" s="198">
        <f t="shared" ref="AE52:AI56" si="56">$AB52*AE$50</f>
        <v>0</v>
      </c>
      <c r="AF52" s="198">
        <f t="shared" si="56"/>
        <v>0</v>
      </c>
      <c r="AG52" s="198">
        <f t="shared" si="56"/>
        <v>0</v>
      </c>
      <c r="AH52" s="198">
        <f t="shared" si="56"/>
        <v>0</v>
      </c>
      <c r="AI52" s="198">
        <f t="shared" si="56"/>
        <v>0</v>
      </c>
      <c r="AK52" s="242"/>
    </row>
    <row r="53" spans="1:37" x14ac:dyDescent="0.15">
      <c r="A53" s="233">
        <v>0</v>
      </c>
      <c r="C53" s="187" t="s">
        <v>450</v>
      </c>
      <c r="D53" s="198">
        <f t="shared" si="51"/>
        <v>0</v>
      </c>
      <c r="E53" s="198">
        <f t="shared" si="51"/>
        <v>0</v>
      </c>
      <c r="F53" s="198">
        <f t="shared" si="51"/>
        <v>0</v>
      </c>
      <c r="G53" s="198">
        <f t="shared" si="51"/>
        <v>0</v>
      </c>
      <c r="H53" s="198">
        <f t="shared" si="51"/>
        <v>0</v>
      </c>
      <c r="I53" s="198"/>
      <c r="J53" s="242">
        <v>0</v>
      </c>
      <c r="L53" s="187" t="s">
        <v>450</v>
      </c>
      <c r="M53" s="198">
        <f t="shared" ref="M53:M56" si="57">$J53*M$50</f>
        <v>0</v>
      </c>
      <c r="N53" s="198">
        <f t="shared" si="52"/>
        <v>0</v>
      </c>
      <c r="O53" s="198">
        <f t="shared" si="52"/>
        <v>0</v>
      </c>
      <c r="P53" s="198">
        <f t="shared" si="52"/>
        <v>0</v>
      </c>
      <c r="Q53" s="198">
        <f t="shared" si="52"/>
        <v>0</v>
      </c>
      <c r="S53" s="242">
        <v>0</v>
      </c>
      <c r="U53" s="187" t="s">
        <v>450</v>
      </c>
      <c r="V53" s="198">
        <f t="shared" si="55"/>
        <v>0</v>
      </c>
      <c r="W53" s="198">
        <f t="shared" si="55"/>
        <v>0</v>
      </c>
      <c r="X53" s="198">
        <f t="shared" si="55"/>
        <v>0</v>
      </c>
      <c r="Y53" s="198">
        <f t="shared" si="55"/>
        <v>0</v>
      </c>
      <c r="Z53" s="198">
        <f t="shared" si="55"/>
        <v>0</v>
      </c>
      <c r="AB53" s="242">
        <v>0</v>
      </c>
      <c r="AD53" s="187" t="s">
        <v>450</v>
      </c>
      <c r="AE53" s="198">
        <f t="shared" si="56"/>
        <v>0</v>
      </c>
      <c r="AF53" s="198">
        <f t="shared" si="56"/>
        <v>0</v>
      </c>
      <c r="AG53" s="198">
        <f t="shared" si="56"/>
        <v>0</v>
      </c>
      <c r="AH53" s="198">
        <f t="shared" si="56"/>
        <v>0</v>
      </c>
      <c r="AI53" s="198">
        <f t="shared" si="56"/>
        <v>0</v>
      </c>
      <c r="AK53" s="242"/>
    </row>
    <row r="54" spans="1:37" x14ac:dyDescent="0.15">
      <c r="A54" s="233">
        <v>0</v>
      </c>
      <c r="C54" s="187" t="s">
        <v>450</v>
      </c>
      <c r="D54" s="198">
        <f t="shared" si="51"/>
        <v>0</v>
      </c>
      <c r="E54" s="198">
        <f t="shared" si="51"/>
        <v>0</v>
      </c>
      <c r="F54" s="198">
        <f t="shared" si="51"/>
        <v>0</v>
      </c>
      <c r="G54" s="198">
        <f t="shared" si="51"/>
        <v>0</v>
      </c>
      <c r="H54" s="198">
        <f t="shared" si="51"/>
        <v>0</v>
      </c>
      <c r="I54" s="198"/>
      <c r="J54" s="242">
        <v>0</v>
      </c>
      <c r="L54" s="187" t="s">
        <v>450</v>
      </c>
      <c r="M54" s="198">
        <f t="shared" si="57"/>
        <v>0</v>
      </c>
      <c r="N54" s="198">
        <f t="shared" si="52"/>
        <v>0</v>
      </c>
      <c r="O54" s="198">
        <f t="shared" si="52"/>
        <v>0</v>
      </c>
      <c r="P54" s="198">
        <f t="shared" si="52"/>
        <v>0</v>
      </c>
      <c r="Q54" s="198">
        <f t="shared" si="52"/>
        <v>0</v>
      </c>
      <c r="S54" s="242">
        <v>0</v>
      </c>
      <c r="U54" s="187" t="s">
        <v>450</v>
      </c>
      <c r="V54" s="198">
        <f t="shared" si="55"/>
        <v>0</v>
      </c>
      <c r="W54" s="198">
        <f t="shared" si="55"/>
        <v>0</v>
      </c>
      <c r="X54" s="198">
        <f t="shared" si="55"/>
        <v>0</v>
      </c>
      <c r="Y54" s="198">
        <f t="shared" si="55"/>
        <v>0</v>
      </c>
      <c r="Z54" s="198">
        <f t="shared" si="55"/>
        <v>0</v>
      </c>
      <c r="AB54" s="242">
        <v>0</v>
      </c>
      <c r="AD54" s="187" t="s">
        <v>450</v>
      </c>
      <c r="AE54" s="198">
        <f t="shared" si="56"/>
        <v>0</v>
      </c>
      <c r="AF54" s="198">
        <f t="shared" si="56"/>
        <v>0</v>
      </c>
      <c r="AG54" s="198">
        <f t="shared" si="56"/>
        <v>0</v>
      </c>
      <c r="AH54" s="198">
        <f t="shared" si="56"/>
        <v>0</v>
      </c>
      <c r="AI54" s="198">
        <f t="shared" si="56"/>
        <v>0</v>
      </c>
      <c r="AK54" s="242"/>
    </row>
    <row r="55" spans="1:37" x14ac:dyDescent="0.15">
      <c r="A55" s="233">
        <v>0</v>
      </c>
      <c r="B55" s="191"/>
      <c r="C55" s="187" t="s">
        <v>450</v>
      </c>
      <c r="D55" s="198">
        <f t="shared" si="51"/>
        <v>0</v>
      </c>
      <c r="E55" s="198">
        <f t="shared" si="51"/>
        <v>0</v>
      </c>
      <c r="F55" s="198">
        <f t="shared" si="51"/>
        <v>0</v>
      </c>
      <c r="G55" s="198">
        <f t="shared" si="51"/>
        <v>0</v>
      </c>
      <c r="H55" s="198">
        <f t="shared" si="51"/>
        <v>0</v>
      </c>
      <c r="J55" s="244">
        <v>0</v>
      </c>
      <c r="L55" s="187" t="s">
        <v>450</v>
      </c>
      <c r="M55" s="198">
        <f t="shared" si="57"/>
        <v>0</v>
      </c>
      <c r="N55" s="198">
        <f t="shared" si="52"/>
        <v>0</v>
      </c>
      <c r="O55" s="198">
        <f t="shared" si="52"/>
        <v>0</v>
      </c>
      <c r="P55" s="198">
        <f t="shared" si="52"/>
        <v>0</v>
      </c>
      <c r="Q55" s="198">
        <f t="shared" si="52"/>
        <v>0</v>
      </c>
      <c r="S55" s="244">
        <v>0</v>
      </c>
      <c r="U55" s="187" t="s">
        <v>450</v>
      </c>
      <c r="V55" s="198">
        <f t="shared" si="55"/>
        <v>0</v>
      </c>
      <c r="W55" s="198">
        <f t="shared" si="55"/>
        <v>0</v>
      </c>
      <c r="X55" s="198">
        <f t="shared" si="55"/>
        <v>0</v>
      </c>
      <c r="Y55" s="198">
        <f t="shared" si="55"/>
        <v>0</v>
      </c>
      <c r="Z55" s="198">
        <f t="shared" si="55"/>
        <v>0</v>
      </c>
      <c r="AB55" s="242">
        <v>0</v>
      </c>
      <c r="AD55" s="187" t="s">
        <v>450</v>
      </c>
      <c r="AE55" s="198">
        <f t="shared" si="56"/>
        <v>0</v>
      </c>
      <c r="AF55" s="198">
        <f t="shared" si="56"/>
        <v>0</v>
      </c>
      <c r="AG55" s="198">
        <f t="shared" si="56"/>
        <v>0</v>
      </c>
      <c r="AH55" s="198">
        <f t="shared" si="56"/>
        <v>0</v>
      </c>
      <c r="AI55" s="198">
        <f t="shared" si="56"/>
        <v>0</v>
      </c>
      <c r="AK55" s="244"/>
    </row>
    <row r="56" spans="1:37" x14ac:dyDescent="0.15">
      <c r="A56" s="233">
        <v>0</v>
      </c>
      <c r="B56" s="191"/>
      <c r="C56" s="187" t="s">
        <v>450</v>
      </c>
      <c r="D56" s="198">
        <f t="shared" si="51"/>
        <v>0</v>
      </c>
      <c r="E56" s="198">
        <f t="shared" si="51"/>
        <v>0</v>
      </c>
      <c r="F56" s="198">
        <f t="shared" si="51"/>
        <v>0</v>
      </c>
      <c r="G56" s="198">
        <f t="shared" si="51"/>
        <v>0</v>
      </c>
      <c r="H56" s="198">
        <f t="shared" si="51"/>
        <v>0</v>
      </c>
      <c r="J56" s="244">
        <v>0</v>
      </c>
      <c r="L56" s="187" t="s">
        <v>450</v>
      </c>
      <c r="M56" s="198">
        <f t="shared" si="57"/>
        <v>0</v>
      </c>
      <c r="N56" s="198">
        <f t="shared" si="52"/>
        <v>0</v>
      </c>
      <c r="O56" s="198">
        <f t="shared" si="52"/>
        <v>0</v>
      </c>
      <c r="P56" s="198">
        <f t="shared" si="52"/>
        <v>0</v>
      </c>
      <c r="Q56" s="198">
        <f t="shared" si="52"/>
        <v>0</v>
      </c>
      <c r="S56" s="244">
        <v>0</v>
      </c>
      <c r="U56" s="187" t="s">
        <v>450</v>
      </c>
      <c r="V56" s="198">
        <f t="shared" si="55"/>
        <v>0</v>
      </c>
      <c r="W56" s="198">
        <f t="shared" si="55"/>
        <v>0</v>
      </c>
      <c r="X56" s="198">
        <f t="shared" si="55"/>
        <v>0</v>
      </c>
      <c r="Y56" s="198">
        <f t="shared" si="55"/>
        <v>0</v>
      </c>
      <c r="Z56" s="198">
        <f t="shared" si="55"/>
        <v>0</v>
      </c>
      <c r="AB56" s="242">
        <v>0</v>
      </c>
      <c r="AD56" s="187" t="s">
        <v>450</v>
      </c>
      <c r="AE56" s="198">
        <f t="shared" si="56"/>
        <v>0</v>
      </c>
      <c r="AF56" s="198">
        <f t="shared" si="56"/>
        <v>0</v>
      </c>
      <c r="AG56" s="198">
        <f t="shared" si="56"/>
        <v>0</v>
      </c>
      <c r="AH56" s="198">
        <f t="shared" si="56"/>
        <v>0</v>
      </c>
      <c r="AI56" s="198">
        <f t="shared" si="56"/>
        <v>0</v>
      </c>
      <c r="AK56" s="244"/>
    </row>
    <row r="57" spans="1:37" ht="12" thickBot="1" x14ac:dyDescent="0.2">
      <c r="A57" s="239"/>
      <c r="B57" s="218"/>
      <c r="C57" s="219"/>
      <c r="D57" s="219"/>
      <c r="E57" s="219"/>
      <c r="F57" s="220"/>
      <c r="G57" s="219"/>
      <c r="H57" s="219"/>
      <c r="I57" s="221"/>
      <c r="J57" s="247"/>
      <c r="K57" s="221"/>
      <c r="L57" s="221"/>
      <c r="M57" s="221"/>
      <c r="N57" s="221"/>
      <c r="O57" s="221"/>
      <c r="P57" s="221"/>
      <c r="Q57" s="221"/>
      <c r="R57" s="221"/>
      <c r="S57" s="247"/>
      <c r="T57" s="221"/>
      <c r="U57" s="221"/>
      <c r="V57" s="221"/>
      <c r="W57" s="221"/>
      <c r="X57" s="221"/>
      <c r="Y57" s="221"/>
      <c r="Z57" s="221"/>
      <c r="AB57" s="251"/>
      <c r="AC57" s="221"/>
      <c r="AD57" s="221"/>
      <c r="AE57" s="221"/>
      <c r="AF57" s="221"/>
      <c r="AG57" s="221"/>
      <c r="AH57" s="221"/>
      <c r="AI57" s="221"/>
      <c r="AK57" s="247"/>
    </row>
    <row r="58" spans="1:37" x14ac:dyDescent="0.15">
      <c r="B58" s="213"/>
      <c r="C58" s="214"/>
      <c r="D58" s="222">
        <f>D7+D12+D20+D30+D40+D50</f>
        <v>1</v>
      </c>
      <c r="E58" s="222">
        <f>E7+E12+E20+E30+E40+E50</f>
        <v>1</v>
      </c>
      <c r="F58" s="222">
        <f>F7+F12+F20+F30+F40+F50</f>
        <v>1</v>
      </c>
      <c r="G58" s="222">
        <f>G7+G12+G20+G30+G40+G50</f>
        <v>1</v>
      </c>
      <c r="H58" s="222">
        <f>H7+H12+H20+H30+H40+H50</f>
        <v>1</v>
      </c>
      <c r="I58" s="223"/>
      <c r="J58" s="240"/>
      <c r="K58" s="222"/>
      <c r="L58" s="222"/>
      <c r="M58" s="222">
        <f>M7+M12+M20+M30+M40+M50</f>
        <v>1</v>
      </c>
      <c r="N58" s="222">
        <f>N7+N12+N20+N30+N40+N50</f>
        <v>1</v>
      </c>
      <c r="O58" s="222">
        <f>O7+O12+O20+O30+O40+O50</f>
        <v>1</v>
      </c>
      <c r="P58" s="222">
        <f>P7+P12+P20+P30+P40+P50</f>
        <v>1</v>
      </c>
      <c r="Q58" s="222">
        <f>Q7+Q12+Q20+Q30+Q40+Q50</f>
        <v>1</v>
      </c>
      <c r="R58" s="223"/>
      <c r="S58" s="240"/>
      <c r="T58" s="222"/>
      <c r="U58" s="222"/>
      <c r="V58" s="222">
        <f>V7+V12+V20+V30+V40+V50</f>
        <v>1</v>
      </c>
      <c r="W58" s="222">
        <f>W7+W12+W20+W30+W40+W50</f>
        <v>1</v>
      </c>
      <c r="X58" s="222">
        <f>X7+X12+X20+X30+X40+X50</f>
        <v>1</v>
      </c>
      <c r="Y58" s="222">
        <f>Y7+Y12+Y20+Y30+Y40+Y50</f>
        <v>1</v>
      </c>
      <c r="Z58" s="222">
        <f>Z7+Z12+Z20+Z30+Z40+Z50</f>
        <v>1</v>
      </c>
      <c r="AC58" s="222"/>
      <c r="AD58" s="222"/>
      <c r="AE58" s="222">
        <f>AE7+AE12+AE20+AE30+AE40+AE50</f>
        <v>1</v>
      </c>
      <c r="AF58" s="222">
        <f>AF7+AF12+AF20+AF30+AF40+AF50</f>
        <v>1</v>
      </c>
      <c r="AG58" s="222">
        <f>AG7+AG12+AG20+AG30+AG40+AG50</f>
        <v>1</v>
      </c>
      <c r="AH58" s="222">
        <f>AH7+AH12+AH20+AH30+AH40+AH50</f>
        <v>1</v>
      </c>
      <c r="AI58" s="222">
        <f>AI7+AI12+AI20+AI30+AI40+AI50</f>
        <v>1</v>
      </c>
      <c r="AK58" s="240"/>
    </row>
    <row r="59" spans="1:37" x14ac:dyDescent="0.15">
      <c r="B59" s="191"/>
      <c r="C59" s="203"/>
      <c r="D59" s="224">
        <f>SUM(D8:D11)+SUM(D13:D19)+SUM(D21:D29)+SUM(D31:D39)+SUM(D41:D49)+SUM(D51:D56)</f>
        <v>1</v>
      </c>
      <c r="E59" s="224">
        <f>SUM(E8:E11)+SUM(E13:E19)+SUM(E21:E29)+SUM(E31:E39)+SUM(E41:E49)+SUM(E51:E56)</f>
        <v>1</v>
      </c>
      <c r="F59" s="224">
        <f>SUM(F8:F11)+SUM(F13:F19)+SUM(F21:F29)+SUM(F31:F39)+SUM(F41:F49)+SUM(F51:F56)</f>
        <v>1</v>
      </c>
      <c r="G59" s="224">
        <f>SUM(G8:G11)+SUM(G13:G19)+SUM(G21:G29)+SUM(G31:G39)+SUM(G41:G49)+SUM(G51:G56)</f>
        <v>0.99999999999999989</v>
      </c>
      <c r="H59" s="224">
        <f>SUM(H8:H11)+SUM(H13:H19)+SUM(H21:H29)+SUM(H31:H39)+SUM(H41:H49)+SUM(H51:H56)</f>
        <v>1.0000000000000002</v>
      </c>
      <c r="I59" s="224"/>
      <c r="J59" s="241"/>
      <c r="K59" s="224"/>
      <c r="L59" s="224"/>
      <c r="M59" s="224">
        <f>SUM(M8:M11)+SUM(M13:M19)+SUM(M21:M29)+SUM(M31:M39)+SUM(M41:M49)+SUM(M51:M56)</f>
        <v>1</v>
      </c>
      <c r="N59" s="224">
        <f>SUM(N8:N11)+SUM(N13:N19)+SUM(N21:N29)+SUM(N31:N39)+SUM(N41:N49)+SUM(N51:N56)</f>
        <v>1</v>
      </c>
      <c r="O59" s="224">
        <f>SUM(O8:O11)+SUM(O13:O19)+SUM(O21:O29)+SUM(O31:O39)+SUM(O41:O49)+SUM(O51:O56)</f>
        <v>1</v>
      </c>
      <c r="P59" s="224">
        <f>SUM(P8:P11)+SUM(P13:P19)+SUM(P21:P29)+SUM(P31:P39)+SUM(P41:P49)+SUM(P51:P56)</f>
        <v>0.99999999999999989</v>
      </c>
      <c r="Q59" s="224">
        <f>SUM(Q8:Q11)+SUM(Q13:Q19)+SUM(Q21:Q29)+SUM(Q31:Q39)+SUM(Q41:Q49)+SUM(Q51:Q56)</f>
        <v>1.0000000000000002</v>
      </c>
      <c r="R59" s="224"/>
      <c r="S59" s="241"/>
      <c r="T59" s="224"/>
      <c r="U59" s="224"/>
      <c r="V59" s="224">
        <f>SUM(V8:V11)+SUM(V13:V19)+SUM(V21:V29)+SUM(V31:V39)+SUM(V41:V49)+SUM(V51:V56)</f>
        <v>1</v>
      </c>
      <c r="W59" s="224">
        <f>SUM(W8:W11)+SUM(W13:W19)+SUM(W21:W29)+SUM(W31:W39)+SUM(W41:W49)+SUM(W51:W56)</f>
        <v>1</v>
      </c>
      <c r="X59" s="224">
        <f>SUM(X8:X11)+SUM(X13:X19)+SUM(X21:X29)+SUM(X31:X39)+SUM(X41:X49)+SUM(X51:X56)</f>
        <v>1</v>
      </c>
      <c r="Y59" s="224">
        <f>SUM(Y8:Y11)+SUM(Y13:Y19)+SUM(Y21:Y29)+SUM(Y31:Y39)+SUM(Y41:Y49)+SUM(Y51:Y56)</f>
        <v>0.99999999999999989</v>
      </c>
      <c r="Z59" s="224">
        <f>SUM(Z8:Z11)+SUM(Z13:Z19)+SUM(Z21:Z29)+SUM(Z31:Z39)+SUM(Z41:Z49)+SUM(Z51:Z56)</f>
        <v>1.0000000000000002</v>
      </c>
      <c r="AB59" s="243"/>
      <c r="AC59" s="224"/>
      <c r="AD59" s="224"/>
      <c r="AE59" s="224">
        <f>SUM(AE8:AE11)+SUM(AE13:AE19)+SUM(AE21:AE29)+SUM(AE31:AE39)+SUM(AE41:AE49)+SUM(AE51:AE56)</f>
        <v>1</v>
      </c>
      <c r="AF59" s="224">
        <f>SUM(AF8:AF11)+SUM(AF13:AF19)+SUM(AF21:AF29)+SUM(AF31:AF39)+SUM(AF41:AF49)+SUM(AF51:AF56)</f>
        <v>1</v>
      </c>
      <c r="AG59" s="224">
        <f>SUM(AG8:AG11)+SUM(AG13:AG19)+SUM(AG21:AG29)+SUM(AG31:AG39)+SUM(AG41:AG49)+SUM(AG51:AG56)</f>
        <v>1</v>
      </c>
      <c r="AH59" s="224">
        <f>SUM(AH8:AH11)+SUM(AH13:AH19)+SUM(AH21:AH29)+SUM(AH31:AH39)+SUM(AH41:AH49)+SUM(AH51:AH56)</f>
        <v>0.99999999999999989</v>
      </c>
      <c r="AI59" s="224">
        <f>SUM(AI8:AI11)+SUM(AI13:AI19)+SUM(AI21:AI29)+SUM(AI31:AI39)+SUM(AI41:AI49)+SUM(AI51:AI56)</f>
        <v>1.0000000000000002</v>
      </c>
      <c r="AK59" s="241"/>
    </row>
    <row r="63" spans="1:37" x14ac:dyDescent="0.15">
      <c r="D63" s="215"/>
    </row>
    <row r="64" spans="1:37" x14ac:dyDescent="0.15">
      <c r="D64" s="215"/>
    </row>
    <row r="65" spans="4:4" x14ac:dyDescent="0.15">
      <c r="D65" s="215"/>
    </row>
    <row r="66" spans="4:4" x14ac:dyDescent="0.15">
      <c r="D66" s="215"/>
    </row>
    <row r="67" spans="4:4" x14ac:dyDescent="0.15">
      <c r="D67" s="215"/>
    </row>
    <row r="68" spans="4:4" x14ac:dyDescent="0.15">
      <c r="D68" s="215"/>
    </row>
    <row r="69" spans="4:4" x14ac:dyDescent="0.15">
      <c r="D69" s="215"/>
    </row>
  </sheetData>
  <conditionalFormatting sqref="D58:H59">
    <cfRule type="cellIs" dxfId="10" priority="5" operator="notEqual">
      <formula>1</formula>
    </cfRule>
    <cfRule type="cellIs" dxfId="9" priority="6" operator="notEqual">
      <formula>1</formula>
    </cfRule>
  </conditionalFormatting>
  <conditionalFormatting sqref="M58:Q59">
    <cfRule type="cellIs" dxfId="8" priority="4" operator="notEqual">
      <formula>1</formula>
    </cfRule>
  </conditionalFormatting>
  <conditionalFormatting sqref="V58:Z59">
    <cfRule type="cellIs" dxfId="7" priority="3" operator="notEqual">
      <formula>1</formula>
    </cfRule>
  </conditionalFormatting>
  <conditionalFormatting sqref="AE58:AI59">
    <cfRule type="cellIs" dxfId="6" priority="2" operator="notEqual">
      <formula>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6346C-A403-4828-A870-92FF852CBDF2}">
  <dimension ref="A1:AR67"/>
  <sheetViews>
    <sheetView showGridLines="0" zoomScaleNormal="100" workbookViewId="0">
      <selection activeCell="C13" sqref="C13"/>
    </sheetView>
  </sheetViews>
  <sheetFormatPr baseColWidth="10" defaultColWidth="9" defaultRowHeight="11" x14ac:dyDescent="0.15"/>
  <cols>
    <col min="1" max="1" width="6.6640625" style="233" bestFit="1" customWidth="1"/>
    <col min="2" max="2" width="11.6640625" style="187" customWidth="1"/>
    <col min="3" max="3" width="32.1640625" style="187" bestFit="1" customWidth="1"/>
    <col min="4" max="7" width="6.33203125" style="187" customWidth="1"/>
    <col min="8" max="8" width="6.83203125" style="187" customWidth="1"/>
    <col min="9" max="9" width="1.1640625" style="187" customWidth="1"/>
    <col min="10" max="10" width="7.1640625" style="244" bestFit="1" customWidth="1"/>
    <col min="11" max="11" width="13.1640625" style="187" customWidth="1"/>
    <col min="12" max="12" width="32.1640625" style="187" bestFit="1" customWidth="1"/>
    <col min="13" max="17" width="6.1640625" style="187" customWidth="1"/>
    <col min="18" max="18" width="0.6640625" style="187" customWidth="1"/>
    <col min="19" max="19" width="6.1640625" style="244" bestFit="1" customWidth="1"/>
    <col min="20" max="20" width="13.6640625" style="187" customWidth="1"/>
    <col min="21" max="21" width="32.1640625" style="187" bestFit="1" customWidth="1"/>
    <col min="22" max="26" width="7.33203125" style="187" customWidth="1"/>
    <col min="27" max="27" width="0.83203125" style="187" customWidth="1"/>
    <col min="28" max="28" width="6.1640625" style="242" bestFit="1" customWidth="1"/>
    <col min="29" max="29" width="13.6640625" style="187" customWidth="1"/>
    <col min="30" max="30" width="32.1640625" style="187" bestFit="1" customWidth="1"/>
    <col min="31" max="35" width="6.6640625" style="187" customWidth="1"/>
    <col min="36" max="36" width="1.33203125" style="187" customWidth="1"/>
    <col min="37" max="37" width="6.1640625" style="252" bestFit="1" customWidth="1"/>
    <col min="38" max="38" width="12.83203125" style="187" customWidth="1"/>
    <col min="39" max="39" width="32.1640625" style="187" bestFit="1" customWidth="1"/>
    <col min="40" max="44" width="6.1640625" style="187" customWidth="1"/>
    <col min="45" max="16384" width="9" style="187"/>
  </cols>
  <sheetData>
    <row r="1" spans="1:44" x14ac:dyDescent="0.15">
      <c r="AK1" s="244"/>
    </row>
    <row r="2" spans="1:44" x14ac:dyDescent="0.15">
      <c r="D2" s="181" t="s">
        <v>445</v>
      </c>
      <c r="E2" s="253">
        <v>0</v>
      </c>
      <c r="G2" s="182" t="s">
        <v>446</v>
      </c>
      <c r="H2" s="254">
        <v>5.0000000000000001E-3</v>
      </c>
      <c r="J2" s="242"/>
      <c r="M2" s="183" t="s">
        <v>445</v>
      </c>
      <c r="N2" s="253">
        <v>0</v>
      </c>
      <c r="P2" s="184" t="s">
        <v>446</v>
      </c>
      <c r="Q2" s="254">
        <v>5.0000000000000001E-3</v>
      </c>
      <c r="S2" s="242"/>
      <c r="V2" s="183" t="s">
        <v>445</v>
      </c>
      <c r="W2" s="253">
        <v>0</v>
      </c>
      <c r="Y2" s="184" t="s">
        <v>446</v>
      </c>
      <c r="Z2" s="254">
        <v>5.0000000000000001E-3</v>
      </c>
      <c r="AE2" s="183" t="s">
        <v>445</v>
      </c>
      <c r="AF2" s="253">
        <v>0</v>
      </c>
      <c r="AH2" s="184" t="s">
        <v>446</v>
      </c>
      <c r="AI2" s="254">
        <v>5.0000000000000001E-3</v>
      </c>
      <c r="AK2" s="242"/>
      <c r="AN2" s="183" t="s">
        <v>445</v>
      </c>
      <c r="AO2" s="253">
        <v>0</v>
      </c>
      <c r="AQ2" s="184" t="s">
        <v>446</v>
      </c>
      <c r="AR2" s="254">
        <v>5.0000000000000001E-3</v>
      </c>
    </row>
    <row r="3" spans="1:44" x14ac:dyDescent="0.15">
      <c r="A3" s="234"/>
      <c r="D3" s="183" t="s">
        <v>447</v>
      </c>
      <c r="E3" s="253">
        <v>0</v>
      </c>
      <c r="G3" s="183" t="s">
        <v>448</v>
      </c>
      <c r="H3" s="254">
        <v>0</v>
      </c>
      <c r="J3" s="242"/>
      <c r="M3" s="183" t="s">
        <v>447</v>
      </c>
      <c r="N3" s="253">
        <v>0</v>
      </c>
      <c r="P3" s="183" t="s">
        <v>448</v>
      </c>
      <c r="Q3" s="254">
        <v>0</v>
      </c>
      <c r="S3" s="242"/>
      <c r="V3" s="183" t="s">
        <v>447</v>
      </c>
      <c r="W3" s="253">
        <v>0</v>
      </c>
      <c r="Y3" s="183" t="s">
        <v>448</v>
      </c>
      <c r="Z3" s="254">
        <v>0</v>
      </c>
      <c r="AE3" s="183" t="s">
        <v>447</v>
      </c>
      <c r="AF3" s="253">
        <v>0</v>
      </c>
      <c r="AH3" s="183" t="s">
        <v>448</v>
      </c>
      <c r="AI3" s="254">
        <v>0</v>
      </c>
      <c r="AK3" s="242"/>
      <c r="AN3" s="183" t="s">
        <v>447</v>
      </c>
      <c r="AO3" s="253">
        <v>0</v>
      </c>
      <c r="AQ3" s="183" t="s">
        <v>448</v>
      </c>
      <c r="AR3" s="254">
        <v>0</v>
      </c>
    </row>
    <row r="4" spans="1:44" x14ac:dyDescent="0.15">
      <c r="A4" s="234"/>
      <c r="J4" s="242"/>
      <c r="M4" s="183"/>
      <c r="N4" s="185"/>
      <c r="P4" s="183"/>
      <c r="Q4" s="186"/>
      <c r="S4" s="242"/>
      <c r="V4" s="183"/>
      <c r="W4" s="185"/>
      <c r="Y4" s="183"/>
      <c r="Z4" s="186"/>
      <c r="AE4" s="183"/>
      <c r="AF4" s="185"/>
      <c r="AH4" s="183"/>
      <c r="AI4" s="186"/>
      <c r="AK4" s="242"/>
      <c r="AN4" s="183"/>
      <c r="AO4" s="185"/>
      <c r="AQ4" s="183"/>
      <c r="AR4" s="186"/>
    </row>
    <row r="5" spans="1:44" x14ac:dyDescent="0.15">
      <c r="A5" s="235"/>
      <c r="J5" s="245"/>
      <c r="S5" s="245"/>
      <c r="AB5" s="245"/>
      <c r="AK5" s="245"/>
    </row>
    <row r="6" spans="1:44" s="229" customFormat="1" ht="12.75" customHeight="1" x14ac:dyDescent="0.15">
      <c r="A6" s="236"/>
      <c r="B6" s="225" t="s">
        <v>1</v>
      </c>
      <c r="C6" s="226"/>
      <c r="D6" s="227" t="s">
        <v>441</v>
      </c>
      <c r="E6" s="227" t="s">
        <v>442</v>
      </c>
      <c r="F6" s="228" t="s">
        <v>349</v>
      </c>
      <c r="G6" s="227" t="s">
        <v>443</v>
      </c>
      <c r="H6" s="227" t="s">
        <v>444</v>
      </c>
      <c r="J6" s="246"/>
      <c r="K6" s="225" t="s">
        <v>5</v>
      </c>
      <c r="L6" s="226"/>
      <c r="M6" s="227" t="s">
        <v>441</v>
      </c>
      <c r="N6" s="227" t="s">
        <v>442</v>
      </c>
      <c r="O6" s="228" t="s">
        <v>349</v>
      </c>
      <c r="P6" s="227" t="s">
        <v>443</v>
      </c>
      <c r="Q6" s="227" t="s">
        <v>444</v>
      </c>
      <c r="S6" s="246"/>
      <c r="T6" s="225" t="s">
        <v>352</v>
      </c>
      <c r="U6" s="226"/>
      <c r="V6" s="227" t="s">
        <v>441</v>
      </c>
      <c r="W6" s="227" t="s">
        <v>442</v>
      </c>
      <c r="X6" s="228" t="s">
        <v>349</v>
      </c>
      <c r="Y6" s="227" t="s">
        <v>443</v>
      </c>
      <c r="Z6" s="227" t="s">
        <v>444</v>
      </c>
      <c r="AB6" s="246"/>
      <c r="AC6" s="225" t="s">
        <v>353</v>
      </c>
      <c r="AD6" s="226"/>
      <c r="AE6" s="227" t="s">
        <v>441</v>
      </c>
      <c r="AF6" s="227" t="s">
        <v>442</v>
      </c>
      <c r="AG6" s="228" t="s">
        <v>349</v>
      </c>
      <c r="AH6" s="227" t="s">
        <v>443</v>
      </c>
      <c r="AI6" s="227" t="s">
        <v>444</v>
      </c>
      <c r="AK6" s="246"/>
      <c r="AL6" s="225" t="s">
        <v>458</v>
      </c>
      <c r="AM6" s="226"/>
      <c r="AN6" s="227" t="s">
        <v>441</v>
      </c>
      <c r="AO6" s="227" t="s">
        <v>442</v>
      </c>
      <c r="AP6" s="228" t="s">
        <v>349</v>
      </c>
      <c r="AQ6" s="227" t="s">
        <v>443</v>
      </c>
      <c r="AR6" s="227" t="s">
        <v>444</v>
      </c>
    </row>
    <row r="7" spans="1:44" x14ac:dyDescent="0.15">
      <c r="B7" s="188" t="s">
        <v>6</v>
      </c>
      <c r="C7" s="189"/>
      <c r="D7" s="190">
        <f>1-D28-D19-D11-$E$3-$H$3</f>
        <v>0.39999999999999997</v>
      </c>
      <c r="E7" s="190">
        <f>1-E28-E19-E11-$E$3-$H$3</f>
        <v>0.3</v>
      </c>
      <c r="F7" s="190">
        <f>1-F28-F19-F11-$E$3-$H$3</f>
        <v>0.2</v>
      </c>
      <c r="G7" s="190">
        <f>1-G28-G19-G11-$E$3-$H$3</f>
        <v>0.15000000000000005</v>
      </c>
      <c r="H7" s="190">
        <f>1-H28-H19-H11-$E$3-$H$3</f>
        <v>4.9999999999999961E-2</v>
      </c>
      <c r="J7" s="242"/>
      <c r="K7" s="188" t="s">
        <v>6</v>
      </c>
      <c r="L7" s="189"/>
      <c r="M7" s="190">
        <f>1-M28-M19-M11-$N$3-$Q$3</f>
        <v>0.44999999999999996</v>
      </c>
      <c r="N7" s="190">
        <f>1-N28-N19-N11-$N$3-$Q$3</f>
        <v>0.35</v>
      </c>
      <c r="O7" s="190">
        <f>1-O28-O19-O11-$N$3-$Q$3</f>
        <v>0.25</v>
      </c>
      <c r="P7" s="190">
        <f>1-P28-P19-P11-$N$3-$Q$3</f>
        <v>0.15000000000000005</v>
      </c>
      <c r="Q7" s="190">
        <f>1-Q28-Q19-Q11-$N$3-$Q$3</f>
        <v>9.999999999999995E-2</v>
      </c>
      <c r="S7" s="242"/>
      <c r="T7" s="188" t="s">
        <v>6</v>
      </c>
      <c r="U7" s="189"/>
      <c r="V7" s="190">
        <f>1-V28-V19-V11-$W$3-$Z$3</f>
        <v>0.5</v>
      </c>
      <c r="W7" s="190">
        <f>1-W28-W19-W11-$W$3-$Z$3</f>
        <v>0.4</v>
      </c>
      <c r="X7" s="190">
        <f>1-X28-X19-X11-$W$3-$Z$3</f>
        <v>0.30000000000000004</v>
      </c>
      <c r="Y7" s="190">
        <f>1-Y28-Y19-Y11-$W$3-$Z$3</f>
        <v>0.20000000000000004</v>
      </c>
      <c r="Z7" s="190">
        <f>1-Z28-Z19-Z11-$W$3-$Z$3</f>
        <v>9.999999999999995E-2</v>
      </c>
      <c r="AC7" s="188" t="s">
        <v>6</v>
      </c>
      <c r="AD7" s="189"/>
      <c r="AE7" s="190">
        <f>1-AE28-AE19-AE11-$AF$3-$AI$3</f>
        <v>0.5</v>
      </c>
      <c r="AF7" s="190">
        <f>1-AF28-AF19-AF11-$AF$3-$AI$3</f>
        <v>0.4</v>
      </c>
      <c r="AG7" s="190">
        <f>1-AG28-AG19-AG11-$AF$3-$AI$3</f>
        <v>0.30000000000000004</v>
      </c>
      <c r="AH7" s="190">
        <f>1-AH28-AH19-AH11-$AF$3-$AI$3</f>
        <v>0.20000000000000004</v>
      </c>
      <c r="AI7" s="190">
        <f>1-AI28-AI19-AI11-$AF$3-$AI$3</f>
        <v>9.999999999999995E-2</v>
      </c>
      <c r="AK7" s="242"/>
      <c r="AL7" s="188" t="s">
        <v>6</v>
      </c>
      <c r="AM7" s="189"/>
      <c r="AN7" s="190">
        <f>1-AN28-AN19-AN11-$AO$3-$AR$3</f>
        <v>0.54999999999999993</v>
      </c>
      <c r="AO7" s="190">
        <f>1-AO28-AO19-AO11-$AO$3-$AR$3</f>
        <v>0.45</v>
      </c>
      <c r="AP7" s="190">
        <f>1-AP28-AP19-AP11-$AO$3-$AR$3</f>
        <v>0.35000000000000003</v>
      </c>
      <c r="AQ7" s="190">
        <f>1-AQ28-AQ19-AQ11-$AO$3-$AR$3</f>
        <v>0.25000000000000006</v>
      </c>
      <c r="AR7" s="190">
        <f>1-AR28-AR19-AR11-$AO$3-$AR$3</f>
        <v>0.14999999999999997</v>
      </c>
    </row>
    <row r="8" spans="1:44" x14ac:dyDescent="0.15">
      <c r="A8" s="237"/>
      <c r="B8" s="191" t="s">
        <v>7</v>
      </c>
      <c r="C8" s="192" t="s">
        <v>8</v>
      </c>
      <c r="D8" s="193">
        <f>$H$2</f>
        <v>5.0000000000000001E-3</v>
      </c>
      <c r="E8" s="193">
        <f>$H$2</f>
        <v>5.0000000000000001E-3</v>
      </c>
      <c r="F8" s="193">
        <f>$H$2</f>
        <v>5.0000000000000001E-3</v>
      </c>
      <c r="G8" s="193">
        <f>$H$2</f>
        <v>5.0000000000000001E-3</v>
      </c>
      <c r="H8" s="193">
        <f>$H$2</f>
        <v>5.0000000000000001E-3</v>
      </c>
      <c r="J8" s="242"/>
      <c r="K8" s="191" t="s">
        <v>7</v>
      </c>
      <c r="L8" s="192" t="s">
        <v>8</v>
      </c>
      <c r="M8" s="193">
        <f>$Q$2</f>
        <v>5.0000000000000001E-3</v>
      </c>
      <c r="N8" s="193">
        <f t="shared" ref="N8:Q8" si="0">$Q$2</f>
        <v>5.0000000000000001E-3</v>
      </c>
      <c r="O8" s="193">
        <f t="shared" si="0"/>
        <v>5.0000000000000001E-3</v>
      </c>
      <c r="P8" s="193">
        <f t="shared" si="0"/>
        <v>5.0000000000000001E-3</v>
      </c>
      <c r="Q8" s="193">
        <f t="shared" si="0"/>
        <v>5.0000000000000001E-3</v>
      </c>
      <c r="S8" s="242"/>
      <c r="T8" s="191" t="s">
        <v>7</v>
      </c>
      <c r="U8" s="192" t="s">
        <v>8</v>
      </c>
      <c r="V8" s="193">
        <f>$Z$2</f>
        <v>5.0000000000000001E-3</v>
      </c>
      <c r="W8" s="193">
        <f t="shared" ref="W8:Z8" si="1">$Z$2</f>
        <v>5.0000000000000001E-3</v>
      </c>
      <c r="X8" s="193">
        <f t="shared" si="1"/>
        <v>5.0000000000000001E-3</v>
      </c>
      <c r="Y8" s="193">
        <f>$Z$2</f>
        <v>5.0000000000000001E-3</v>
      </c>
      <c r="Z8" s="193">
        <f t="shared" si="1"/>
        <v>5.0000000000000001E-3</v>
      </c>
      <c r="AC8" s="191" t="s">
        <v>7</v>
      </c>
      <c r="AD8" s="192" t="s">
        <v>8</v>
      </c>
      <c r="AE8" s="193">
        <f>$AI$2</f>
        <v>5.0000000000000001E-3</v>
      </c>
      <c r="AF8" s="193">
        <f>$AI$2</f>
        <v>5.0000000000000001E-3</v>
      </c>
      <c r="AG8" s="193">
        <f t="shared" ref="AG8:AI8" si="2">$AI$2</f>
        <v>5.0000000000000001E-3</v>
      </c>
      <c r="AH8" s="193">
        <f t="shared" si="2"/>
        <v>5.0000000000000001E-3</v>
      </c>
      <c r="AI8" s="193">
        <f t="shared" si="2"/>
        <v>5.0000000000000001E-3</v>
      </c>
      <c r="AK8" s="242"/>
      <c r="AL8" s="191" t="s">
        <v>7</v>
      </c>
      <c r="AM8" s="192" t="s">
        <v>8</v>
      </c>
      <c r="AN8" s="193">
        <f>$AR$2</f>
        <v>5.0000000000000001E-3</v>
      </c>
      <c r="AO8" s="193">
        <f t="shared" ref="AO8:AR8" si="3">$AR$2</f>
        <v>5.0000000000000001E-3</v>
      </c>
      <c r="AP8" s="193">
        <f>$AR$2</f>
        <v>5.0000000000000001E-3</v>
      </c>
      <c r="AQ8" s="193">
        <f t="shared" si="3"/>
        <v>5.0000000000000001E-3</v>
      </c>
      <c r="AR8" s="193">
        <f t="shared" si="3"/>
        <v>5.0000000000000001E-3</v>
      </c>
    </row>
    <row r="9" spans="1:44" x14ac:dyDescent="0.15">
      <c r="B9" s="191" t="s">
        <v>10</v>
      </c>
      <c r="C9" s="192" t="s">
        <v>11</v>
      </c>
      <c r="D9" s="194">
        <f>D7-D8</f>
        <v>0.39499999999999996</v>
      </c>
      <c r="E9" s="194">
        <f t="shared" ref="E9:H9" si="4">E7-E8</f>
        <v>0.29499999999999998</v>
      </c>
      <c r="F9" s="194">
        <f t="shared" si="4"/>
        <v>0.19500000000000001</v>
      </c>
      <c r="G9" s="194">
        <f t="shared" si="4"/>
        <v>0.14500000000000005</v>
      </c>
      <c r="H9" s="194">
        <f t="shared" si="4"/>
        <v>4.4999999999999964E-2</v>
      </c>
      <c r="J9" s="242"/>
      <c r="K9" s="191" t="s">
        <v>10</v>
      </c>
      <c r="L9" s="192" t="s">
        <v>11</v>
      </c>
      <c r="M9" s="194">
        <f>M7-M8</f>
        <v>0.44499999999999995</v>
      </c>
      <c r="N9" s="194">
        <f t="shared" ref="N9" si="5">N7-N8</f>
        <v>0.34499999999999997</v>
      </c>
      <c r="O9" s="194">
        <f t="shared" ref="O9" si="6">O7-O8</f>
        <v>0.245</v>
      </c>
      <c r="P9" s="194">
        <f t="shared" ref="P9" si="7">P7-P8</f>
        <v>0.14500000000000005</v>
      </c>
      <c r="Q9" s="194">
        <f t="shared" ref="Q9" si="8">Q7-Q8</f>
        <v>9.4999999999999946E-2</v>
      </c>
      <c r="S9" s="242"/>
      <c r="T9" s="191" t="s">
        <v>10</v>
      </c>
      <c r="U9" s="192" t="s">
        <v>11</v>
      </c>
      <c r="V9" s="194">
        <f>V7-V8</f>
        <v>0.495</v>
      </c>
      <c r="W9" s="194">
        <f t="shared" ref="W9" si="9">W7-W8</f>
        <v>0.39500000000000002</v>
      </c>
      <c r="X9" s="194">
        <f t="shared" ref="X9" si="10">X7-X8</f>
        <v>0.29500000000000004</v>
      </c>
      <c r="Y9" s="194">
        <f t="shared" ref="Y9" si="11">Y7-Y8</f>
        <v>0.19500000000000003</v>
      </c>
      <c r="Z9" s="194">
        <f t="shared" ref="Z9" si="12">Z7-Z8</f>
        <v>9.4999999999999946E-2</v>
      </c>
      <c r="AC9" s="191" t="s">
        <v>10</v>
      </c>
      <c r="AD9" s="192" t="s">
        <v>11</v>
      </c>
      <c r="AE9" s="194">
        <f>AE7-AE8</f>
        <v>0.495</v>
      </c>
      <c r="AF9" s="194">
        <f t="shared" ref="AF9" si="13">AF7-AF8</f>
        <v>0.39500000000000002</v>
      </c>
      <c r="AG9" s="194">
        <f t="shared" ref="AG9" si="14">AG7-AG8</f>
        <v>0.29500000000000004</v>
      </c>
      <c r="AH9" s="194">
        <f t="shared" ref="AH9" si="15">AH7-AH8</f>
        <v>0.19500000000000003</v>
      </c>
      <c r="AI9" s="194">
        <f t="shared" ref="AI9" si="16">AI7-AI8</f>
        <v>9.4999999999999946E-2</v>
      </c>
      <c r="AK9" s="242"/>
      <c r="AL9" s="191" t="s">
        <v>10</v>
      </c>
      <c r="AM9" s="192" t="s">
        <v>11</v>
      </c>
      <c r="AN9" s="194">
        <f>AN7-AN8</f>
        <v>0.54499999999999993</v>
      </c>
      <c r="AO9" s="194">
        <f>AO7-AO8</f>
        <v>0.44500000000000001</v>
      </c>
      <c r="AP9" s="194">
        <f t="shared" ref="AP9" si="17">AP7-AP8</f>
        <v>0.34500000000000003</v>
      </c>
      <c r="AQ9" s="194">
        <f t="shared" ref="AQ9" si="18">AQ7-AQ8</f>
        <v>0.24500000000000005</v>
      </c>
      <c r="AR9" s="194">
        <f t="shared" ref="AR9" si="19">AR7-AR8</f>
        <v>0.14499999999999996</v>
      </c>
    </row>
    <row r="10" spans="1:44" x14ac:dyDescent="0.15">
      <c r="B10" s="191"/>
      <c r="C10" s="192"/>
      <c r="D10" s="194"/>
      <c r="E10" s="194"/>
      <c r="F10" s="194"/>
      <c r="G10" s="194"/>
      <c r="H10" s="194"/>
      <c r="J10" s="242"/>
      <c r="K10" s="191"/>
      <c r="L10" s="192"/>
      <c r="M10" s="194"/>
      <c r="N10" s="194"/>
      <c r="O10" s="194"/>
      <c r="P10" s="194"/>
      <c r="Q10" s="194"/>
      <c r="S10" s="242"/>
      <c r="T10" s="191"/>
      <c r="U10" s="192"/>
      <c r="V10" s="194"/>
      <c r="W10" s="194"/>
      <c r="X10" s="194"/>
      <c r="Y10" s="194"/>
      <c r="Z10" s="194"/>
      <c r="AC10" s="191"/>
      <c r="AD10" s="192"/>
      <c r="AE10" s="194"/>
      <c r="AF10" s="194"/>
      <c r="AG10" s="194"/>
      <c r="AH10" s="194"/>
      <c r="AI10" s="194"/>
      <c r="AK10" s="242"/>
      <c r="AL10" s="191"/>
      <c r="AM10" s="192"/>
      <c r="AN10" s="194"/>
      <c r="AO10" s="194"/>
      <c r="AP10" s="194"/>
      <c r="AQ10" s="194"/>
      <c r="AR10" s="194"/>
    </row>
    <row r="11" spans="1:44" x14ac:dyDescent="0.15">
      <c r="B11" s="195" t="s">
        <v>14</v>
      </c>
      <c r="C11" s="196"/>
      <c r="D11" s="197">
        <v>0.2</v>
      </c>
      <c r="E11" s="197">
        <v>0.2</v>
      </c>
      <c r="F11" s="197">
        <v>0.2</v>
      </c>
      <c r="G11" s="197">
        <v>0.15</v>
      </c>
      <c r="H11" s="197">
        <v>0.15</v>
      </c>
      <c r="J11" s="242"/>
      <c r="K11" s="195" t="s">
        <v>14</v>
      </c>
      <c r="L11" s="196"/>
      <c r="M11" s="197">
        <v>0.15</v>
      </c>
      <c r="N11" s="197">
        <v>0.15</v>
      </c>
      <c r="O11" s="197">
        <v>0.15</v>
      </c>
      <c r="P11" s="197">
        <v>0.15</v>
      </c>
      <c r="Q11" s="197">
        <v>0.1</v>
      </c>
      <c r="S11" s="242"/>
      <c r="T11" s="195" t="s">
        <v>14</v>
      </c>
      <c r="U11" s="196"/>
      <c r="V11" s="197">
        <v>0.1</v>
      </c>
      <c r="W11" s="197">
        <v>0.1</v>
      </c>
      <c r="X11" s="197">
        <v>0.1</v>
      </c>
      <c r="Y11" s="197">
        <v>0.1</v>
      </c>
      <c r="Z11" s="197">
        <v>0.1</v>
      </c>
      <c r="AC11" s="195" t="s">
        <v>14</v>
      </c>
      <c r="AD11" s="196"/>
      <c r="AE11" s="197">
        <v>0.1</v>
      </c>
      <c r="AF11" s="197">
        <v>0.1</v>
      </c>
      <c r="AG11" s="197">
        <v>0.1</v>
      </c>
      <c r="AH11" s="197">
        <v>0.1</v>
      </c>
      <c r="AI11" s="197">
        <v>0.1</v>
      </c>
      <c r="AK11" s="242"/>
      <c r="AL11" s="195" t="s">
        <v>14</v>
      </c>
      <c r="AM11" s="196"/>
      <c r="AN11" s="197">
        <v>0.05</v>
      </c>
      <c r="AO11" s="197">
        <v>0.05</v>
      </c>
      <c r="AP11" s="197">
        <v>0.05</v>
      </c>
      <c r="AQ11" s="197">
        <v>0.05</v>
      </c>
      <c r="AR11" s="197">
        <v>0.05</v>
      </c>
    </row>
    <row r="12" spans="1:44" x14ac:dyDescent="0.15">
      <c r="A12" s="233">
        <v>0.3</v>
      </c>
      <c r="B12" s="191" t="s">
        <v>0</v>
      </c>
      <c r="C12" s="230" t="s">
        <v>15</v>
      </c>
      <c r="D12" s="198">
        <f t="shared" ref="D12:E12" si="20">$A12*D$11</f>
        <v>0.06</v>
      </c>
      <c r="E12" s="198">
        <f t="shared" si="20"/>
        <v>0.06</v>
      </c>
      <c r="F12" s="198">
        <f>$A12*F$11</f>
        <v>0.06</v>
      </c>
      <c r="G12" s="198">
        <f t="shared" ref="G12:H12" si="21">$A12*G$11</f>
        <v>4.4999999999999998E-2</v>
      </c>
      <c r="H12" s="198">
        <f t="shared" si="21"/>
        <v>4.4999999999999998E-2</v>
      </c>
      <c r="J12" s="242">
        <v>0.3</v>
      </c>
      <c r="K12" s="191" t="s">
        <v>0</v>
      </c>
      <c r="L12" s="230" t="s">
        <v>16</v>
      </c>
      <c r="M12" s="198">
        <f>$J12*M$11</f>
        <v>4.4999999999999998E-2</v>
      </c>
      <c r="N12" s="198">
        <f t="shared" ref="N12:Q12" si="22">$J12*N$11</f>
        <v>4.4999999999999998E-2</v>
      </c>
      <c r="O12" s="198">
        <f t="shared" si="22"/>
        <v>4.4999999999999998E-2</v>
      </c>
      <c r="P12" s="198">
        <f t="shared" si="22"/>
        <v>4.4999999999999998E-2</v>
      </c>
      <c r="Q12" s="198">
        <f t="shared" si="22"/>
        <v>0.03</v>
      </c>
      <c r="S12" s="242">
        <v>0</v>
      </c>
      <c r="T12" s="191" t="s">
        <v>0</v>
      </c>
      <c r="U12" s="230"/>
      <c r="V12" s="198">
        <f>$S12*V$11</f>
        <v>0</v>
      </c>
      <c r="W12" s="198">
        <f t="shared" ref="W12:Z12" si="23">$S12*W$11</f>
        <v>0</v>
      </c>
      <c r="X12" s="198">
        <f t="shared" si="23"/>
        <v>0</v>
      </c>
      <c r="Y12" s="198">
        <f t="shared" si="23"/>
        <v>0</v>
      </c>
      <c r="Z12" s="198">
        <f t="shared" si="23"/>
        <v>0</v>
      </c>
      <c r="AB12" s="242">
        <v>0.5</v>
      </c>
      <c r="AC12" s="191" t="s">
        <v>0</v>
      </c>
      <c r="AD12" s="230" t="s">
        <v>16</v>
      </c>
      <c r="AE12" s="198">
        <f>$AB12*AE$11</f>
        <v>0.05</v>
      </c>
      <c r="AF12" s="198">
        <f t="shared" ref="AF12:AI12" si="24">$AB12*AF$11</f>
        <v>0.05</v>
      </c>
      <c r="AG12" s="198">
        <f t="shared" si="24"/>
        <v>0.05</v>
      </c>
      <c r="AH12" s="198">
        <f t="shared" si="24"/>
        <v>0.05</v>
      </c>
      <c r="AI12" s="198">
        <f t="shared" si="24"/>
        <v>0.05</v>
      </c>
      <c r="AK12" s="242">
        <v>0</v>
      </c>
      <c r="AL12" s="191" t="s">
        <v>0</v>
      </c>
      <c r="AM12" s="230"/>
      <c r="AN12" s="198">
        <f>$AK12*AN$11</f>
        <v>0</v>
      </c>
      <c r="AO12" s="198">
        <f t="shared" ref="AO12:AR12" si="25">$AK12*AO$11</f>
        <v>0</v>
      </c>
      <c r="AP12" s="198">
        <f t="shared" si="25"/>
        <v>0</v>
      </c>
      <c r="AQ12" s="198">
        <f t="shared" si="25"/>
        <v>0</v>
      </c>
      <c r="AR12" s="198">
        <f t="shared" si="25"/>
        <v>0</v>
      </c>
    </row>
    <row r="13" spans="1:44" x14ac:dyDescent="0.15">
      <c r="A13" s="233">
        <v>0.19999999999999998</v>
      </c>
      <c r="B13" s="191" t="s">
        <v>17</v>
      </c>
      <c r="C13" s="203" t="s">
        <v>19</v>
      </c>
      <c r="D13" s="198">
        <f t="shared" ref="D13:H16" si="26">$A13*D$11</f>
        <v>0.04</v>
      </c>
      <c r="E13" s="198">
        <f t="shared" si="26"/>
        <v>0.04</v>
      </c>
      <c r="F13" s="198">
        <f t="shared" si="26"/>
        <v>0.04</v>
      </c>
      <c r="G13" s="198">
        <f t="shared" si="26"/>
        <v>2.9999999999999995E-2</v>
      </c>
      <c r="H13" s="198">
        <f t="shared" si="26"/>
        <v>2.9999999999999995E-2</v>
      </c>
      <c r="J13" s="242">
        <v>0</v>
      </c>
      <c r="K13" s="191" t="s">
        <v>17</v>
      </c>
      <c r="L13" s="203" t="s">
        <v>459</v>
      </c>
      <c r="M13" s="198">
        <f t="shared" ref="M13:Q17" si="27">$J13*M$11</f>
        <v>0</v>
      </c>
      <c r="N13" s="198">
        <f t="shared" si="27"/>
        <v>0</v>
      </c>
      <c r="O13" s="198">
        <f t="shared" si="27"/>
        <v>0</v>
      </c>
      <c r="P13" s="198">
        <f t="shared" si="27"/>
        <v>0</v>
      </c>
      <c r="Q13" s="198">
        <f t="shared" si="27"/>
        <v>0</v>
      </c>
      <c r="S13" s="242">
        <v>0</v>
      </c>
      <c r="T13" s="191" t="s">
        <v>17</v>
      </c>
      <c r="U13" s="203" t="s">
        <v>459</v>
      </c>
      <c r="V13" s="198">
        <f t="shared" ref="V13:Z17" si="28">$S13*V$11</f>
        <v>0</v>
      </c>
      <c r="W13" s="198">
        <f t="shared" si="28"/>
        <v>0</v>
      </c>
      <c r="X13" s="198">
        <f t="shared" si="28"/>
        <v>0</v>
      </c>
      <c r="Y13" s="198">
        <f t="shared" si="28"/>
        <v>0</v>
      </c>
      <c r="Z13" s="198">
        <f t="shared" si="28"/>
        <v>0</v>
      </c>
      <c r="AB13" s="242">
        <v>0</v>
      </c>
      <c r="AC13" s="191" t="s">
        <v>17</v>
      </c>
      <c r="AD13" s="203"/>
      <c r="AE13" s="198">
        <f t="shared" ref="AE13:AI17" si="29">$AB13*AE$11</f>
        <v>0</v>
      </c>
      <c r="AF13" s="198">
        <f t="shared" si="29"/>
        <v>0</v>
      </c>
      <c r="AG13" s="198">
        <f t="shared" si="29"/>
        <v>0</v>
      </c>
      <c r="AH13" s="198">
        <f t="shared" si="29"/>
        <v>0</v>
      </c>
      <c r="AI13" s="198">
        <f t="shared" si="29"/>
        <v>0</v>
      </c>
      <c r="AK13" s="242">
        <v>0</v>
      </c>
      <c r="AL13" s="191" t="s">
        <v>17</v>
      </c>
      <c r="AM13" s="203" t="s">
        <v>459</v>
      </c>
      <c r="AN13" s="198">
        <f>$AK13*AN$11</f>
        <v>0</v>
      </c>
      <c r="AO13" s="198">
        <f t="shared" ref="AN13:AR17" si="30">$AK13*AO$11</f>
        <v>0</v>
      </c>
      <c r="AP13" s="198">
        <f t="shared" si="30"/>
        <v>0</v>
      </c>
      <c r="AQ13" s="198">
        <f t="shared" si="30"/>
        <v>0</v>
      </c>
      <c r="AR13" s="198">
        <f t="shared" si="30"/>
        <v>0</v>
      </c>
    </row>
    <row r="14" spans="1:44" x14ac:dyDescent="0.15">
      <c r="A14" s="233">
        <v>0.19999999999999998</v>
      </c>
      <c r="B14" s="191"/>
      <c r="C14" s="203" t="s">
        <v>460</v>
      </c>
      <c r="D14" s="198">
        <f t="shared" si="26"/>
        <v>0.04</v>
      </c>
      <c r="E14" s="198">
        <f t="shared" si="26"/>
        <v>0.04</v>
      </c>
      <c r="F14" s="198">
        <f t="shared" si="26"/>
        <v>0.04</v>
      </c>
      <c r="G14" s="198">
        <f t="shared" si="26"/>
        <v>2.9999999999999995E-2</v>
      </c>
      <c r="H14" s="198">
        <f t="shared" si="26"/>
        <v>2.9999999999999995E-2</v>
      </c>
      <c r="J14" s="242">
        <v>0.3</v>
      </c>
      <c r="K14" s="191"/>
      <c r="L14" s="203" t="s">
        <v>21</v>
      </c>
      <c r="M14" s="198">
        <f t="shared" si="27"/>
        <v>4.4999999999999998E-2</v>
      </c>
      <c r="N14" s="198">
        <f t="shared" si="27"/>
        <v>4.4999999999999998E-2</v>
      </c>
      <c r="O14" s="198">
        <f t="shared" si="27"/>
        <v>4.4999999999999998E-2</v>
      </c>
      <c r="P14" s="198">
        <f t="shared" si="27"/>
        <v>4.4999999999999998E-2</v>
      </c>
      <c r="Q14" s="198">
        <f t="shared" si="27"/>
        <v>0.03</v>
      </c>
      <c r="S14" s="242">
        <v>0.6</v>
      </c>
      <c r="T14" s="191"/>
      <c r="U14" s="203" t="s">
        <v>18</v>
      </c>
      <c r="V14" s="198">
        <f t="shared" si="28"/>
        <v>0.06</v>
      </c>
      <c r="W14" s="198">
        <f t="shared" si="28"/>
        <v>0.06</v>
      </c>
      <c r="X14" s="198">
        <f t="shared" si="28"/>
        <v>0.06</v>
      </c>
      <c r="Y14" s="198">
        <f t="shared" si="28"/>
        <v>0.06</v>
      </c>
      <c r="Z14" s="198">
        <f t="shared" si="28"/>
        <v>0.06</v>
      </c>
      <c r="AB14" s="242">
        <v>0</v>
      </c>
      <c r="AC14" s="191"/>
      <c r="AD14" s="203"/>
      <c r="AE14" s="198">
        <f t="shared" si="29"/>
        <v>0</v>
      </c>
      <c r="AF14" s="198">
        <f t="shared" si="29"/>
        <v>0</v>
      </c>
      <c r="AG14" s="198">
        <f t="shared" si="29"/>
        <v>0</v>
      </c>
      <c r="AH14" s="198">
        <f t="shared" si="29"/>
        <v>0</v>
      </c>
      <c r="AI14" s="198">
        <f t="shared" si="29"/>
        <v>0</v>
      </c>
      <c r="AK14" s="242">
        <v>1</v>
      </c>
      <c r="AL14" s="191"/>
      <c r="AM14" s="203" t="s">
        <v>18</v>
      </c>
      <c r="AN14" s="198">
        <f t="shared" si="30"/>
        <v>0.05</v>
      </c>
      <c r="AO14" s="198">
        <f t="shared" si="30"/>
        <v>0.05</v>
      </c>
      <c r="AP14" s="198">
        <f t="shared" si="30"/>
        <v>0.05</v>
      </c>
      <c r="AQ14" s="198">
        <f t="shared" si="30"/>
        <v>0.05</v>
      </c>
      <c r="AR14" s="198">
        <f t="shared" si="30"/>
        <v>0.05</v>
      </c>
    </row>
    <row r="15" spans="1:44" x14ac:dyDescent="0.15">
      <c r="A15" s="233">
        <v>0.15</v>
      </c>
      <c r="B15" s="191" t="s">
        <v>20</v>
      </c>
      <c r="C15" s="203" t="s">
        <v>21</v>
      </c>
      <c r="D15" s="198">
        <f t="shared" si="26"/>
        <v>0.03</v>
      </c>
      <c r="E15" s="198">
        <f t="shared" si="26"/>
        <v>0.03</v>
      </c>
      <c r="F15" s="198">
        <f t="shared" si="26"/>
        <v>0.03</v>
      </c>
      <c r="G15" s="198">
        <f t="shared" si="26"/>
        <v>2.2499999999999999E-2</v>
      </c>
      <c r="H15" s="198">
        <f t="shared" si="26"/>
        <v>2.2499999999999999E-2</v>
      </c>
      <c r="J15" s="242">
        <v>0.2</v>
      </c>
      <c r="K15" s="191" t="s">
        <v>20</v>
      </c>
      <c r="L15" s="203" t="s">
        <v>22</v>
      </c>
      <c r="M15" s="198">
        <f>$J15*M$11</f>
        <v>0.03</v>
      </c>
      <c r="N15" s="198">
        <f t="shared" si="27"/>
        <v>0.03</v>
      </c>
      <c r="O15" s="198">
        <f t="shared" si="27"/>
        <v>0.03</v>
      </c>
      <c r="P15" s="198">
        <f t="shared" si="27"/>
        <v>0.03</v>
      </c>
      <c r="Q15" s="198">
        <f t="shared" si="27"/>
        <v>2.0000000000000004E-2</v>
      </c>
      <c r="S15" s="242">
        <v>0</v>
      </c>
      <c r="T15" s="191" t="s">
        <v>20</v>
      </c>
      <c r="U15" s="231" t="s">
        <v>90</v>
      </c>
      <c r="V15" s="198">
        <f t="shared" si="28"/>
        <v>0</v>
      </c>
      <c r="W15" s="198">
        <f t="shared" si="28"/>
        <v>0</v>
      </c>
      <c r="X15" s="198">
        <f t="shared" si="28"/>
        <v>0</v>
      </c>
      <c r="Y15" s="198">
        <f t="shared" si="28"/>
        <v>0</v>
      </c>
      <c r="Z15" s="198">
        <f t="shared" si="28"/>
        <v>0</v>
      </c>
      <c r="AB15" s="242">
        <v>0.3</v>
      </c>
      <c r="AC15" s="191" t="s">
        <v>20</v>
      </c>
      <c r="AD15" s="231" t="s">
        <v>21</v>
      </c>
      <c r="AE15" s="198">
        <f t="shared" si="29"/>
        <v>0.03</v>
      </c>
      <c r="AF15" s="198">
        <f t="shared" si="29"/>
        <v>0.03</v>
      </c>
      <c r="AG15" s="198">
        <f t="shared" si="29"/>
        <v>0.03</v>
      </c>
      <c r="AH15" s="198">
        <f t="shared" si="29"/>
        <v>0.03</v>
      </c>
      <c r="AI15" s="198">
        <f t="shared" si="29"/>
        <v>0.03</v>
      </c>
      <c r="AK15" s="242">
        <v>0</v>
      </c>
      <c r="AL15" s="191" t="s">
        <v>20</v>
      </c>
      <c r="AM15" s="231" t="s">
        <v>457</v>
      </c>
      <c r="AN15" s="198">
        <f t="shared" si="30"/>
        <v>0</v>
      </c>
      <c r="AO15" s="198">
        <f t="shared" si="30"/>
        <v>0</v>
      </c>
      <c r="AP15" s="198">
        <f t="shared" si="30"/>
        <v>0</v>
      </c>
      <c r="AQ15" s="198">
        <f t="shared" si="30"/>
        <v>0</v>
      </c>
      <c r="AR15" s="198">
        <f t="shared" si="30"/>
        <v>0</v>
      </c>
    </row>
    <row r="16" spans="1:44" x14ac:dyDescent="0.15">
      <c r="A16" s="233">
        <v>0.15</v>
      </c>
      <c r="B16" s="191" t="s">
        <v>23</v>
      </c>
      <c r="C16" s="231" t="s">
        <v>24</v>
      </c>
      <c r="D16" s="198">
        <f t="shared" si="26"/>
        <v>0.03</v>
      </c>
      <c r="E16" s="198">
        <f t="shared" si="26"/>
        <v>0.03</v>
      </c>
      <c r="F16" s="198">
        <f t="shared" si="26"/>
        <v>0.03</v>
      </c>
      <c r="G16" s="198">
        <f t="shared" si="26"/>
        <v>2.2499999999999999E-2</v>
      </c>
      <c r="H16" s="198">
        <f t="shared" si="26"/>
        <v>2.2499999999999999E-2</v>
      </c>
      <c r="J16" s="242">
        <v>0</v>
      </c>
      <c r="K16" s="191"/>
      <c r="L16" s="231" t="s">
        <v>90</v>
      </c>
      <c r="M16" s="198">
        <f t="shared" si="27"/>
        <v>0</v>
      </c>
      <c r="N16" s="198">
        <f t="shared" si="27"/>
        <v>0</v>
      </c>
      <c r="O16" s="198">
        <f t="shared" si="27"/>
        <v>0</v>
      </c>
      <c r="P16" s="198">
        <f t="shared" si="27"/>
        <v>0</v>
      </c>
      <c r="Q16" s="198">
        <f t="shared" si="27"/>
        <v>0</v>
      </c>
      <c r="S16" s="242">
        <v>0</v>
      </c>
      <c r="T16" s="191"/>
      <c r="U16" s="231"/>
      <c r="V16" s="198">
        <f t="shared" si="28"/>
        <v>0</v>
      </c>
      <c r="W16" s="198">
        <f t="shared" si="28"/>
        <v>0</v>
      </c>
      <c r="X16" s="198">
        <f t="shared" si="28"/>
        <v>0</v>
      </c>
      <c r="Y16" s="198">
        <f t="shared" si="28"/>
        <v>0</v>
      </c>
      <c r="Z16" s="198">
        <f t="shared" si="28"/>
        <v>0</v>
      </c>
      <c r="AB16" s="242">
        <v>0.2</v>
      </c>
      <c r="AC16" s="191"/>
      <c r="AD16" s="231" t="s">
        <v>22</v>
      </c>
      <c r="AE16" s="198">
        <f t="shared" si="29"/>
        <v>2.0000000000000004E-2</v>
      </c>
      <c r="AF16" s="198">
        <f t="shared" si="29"/>
        <v>2.0000000000000004E-2</v>
      </c>
      <c r="AG16" s="198">
        <f t="shared" si="29"/>
        <v>2.0000000000000004E-2</v>
      </c>
      <c r="AH16" s="198">
        <f t="shared" si="29"/>
        <v>2.0000000000000004E-2</v>
      </c>
      <c r="AI16" s="198">
        <f t="shared" si="29"/>
        <v>2.0000000000000004E-2</v>
      </c>
      <c r="AK16" s="242">
        <v>0</v>
      </c>
      <c r="AL16" s="191"/>
      <c r="AM16" s="231"/>
      <c r="AN16" s="198">
        <f t="shared" si="30"/>
        <v>0</v>
      </c>
      <c r="AO16" s="198">
        <f t="shared" si="30"/>
        <v>0</v>
      </c>
      <c r="AP16" s="198">
        <f t="shared" si="30"/>
        <v>0</v>
      </c>
      <c r="AQ16" s="198">
        <f t="shared" si="30"/>
        <v>0</v>
      </c>
      <c r="AR16" s="198">
        <f t="shared" si="30"/>
        <v>0</v>
      </c>
    </row>
    <row r="17" spans="1:44" x14ac:dyDescent="0.15">
      <c r="B17" s="191"/>
      <c r="C17" s="231"/>
      <c r="D17" s="198"/>
      <c r="E17" s="198"/>
      <c r="F17" s="198"/>
      <c r="G17" s="198"/>
      <c r="H17" s="198"/>
      <c r="J17" s="242">
        <v>0.2</v>
      </c>
      <c r="K17" s="191" t="s">
        <v>23</v>
      </c>
      <c r="L17" s="231" t="s">
        <v>24</v>
      </c>
      <c r="M17" s="198">
        <f t="shared" si="27"/>
        <v>0.03</v>
      </c>
      <c r="N17" s="198">
        <f t="shared" si="27"/>
        <v>0.03</v>
      </c>
      <c r="O17" s="198">
        <f t="shared" si="27"/>
        <v>0.03</v>
      </c>
      <c r="P17" s="198">
        <f t="shared" si="27"/>
        <v>0.03</v>
      </c>
      <c r="Q17" s="198">
        <f t="shared" si="27"/>
        <v>2.0000000000000004E-2</v>
      </c>
      <c r="S17" s="242">
        <v>0.4</v>
      </c>
      <c r="T17" s="191" t="s">
        <v>23</v>
      </c>
      <c r="U17" s="231" t="s">
        <v>24</v>
      </c>
      <c r="V17" s="198">
        <f t="shared" si="28"/>
        <v>4.0000000000000008E-2</v>
      </c>
      <c r="W17" s="198">
        <f t="shared" si="28"/>
        <v>4.0000000000000008E-2</v>
      </c>
      <c r="X17" s="198">
        <f t="shared" si="28"/>
        <v>4.0000000000000008E-2</v>
      </c>
      <c r="Y17" s="198">
        <f t="shared" si="28"/>
        <v>4.0000000000000008E-2</v>
      </c>
      <c r="Z17" s="198">
        <f t="shared" si="28"/>
        <v>4.0000000000000008E-2</v>
      </c>
      <c r="AB17" s="242">
        <v>0</v>
      </c>
      <c r="AC17" s="191"/>
      <c r="AD17" s="231" t="s">
        <v>90</v>
      </c>
      <c r="AE17" s="198">
        <f t="shared" si="29"/>
        <v>0</v>
      </c>
      <c r="AF17" s="198">
        <f t="shared" si="29"/>
        <v>0</v>
      </c>
      <c r="AG17" s="198">
        <f t="shared" si="29"/>
        <v>0</v>
      </c>
      <c r="AH17" s="198">
        <f t="shared" si="29"/>
        <v>0</v>
      </c>
      <c r="AI17" s="198">
        <f t="shared" si="29"/>
        <v>0</v>
      </c>
      <c r="AK17" s="242">
        <v>0</v>
      </c>
      <c r="AL17" s="191" t="s">
        <v>23</v>
      </c>
      <c r="AM17" s="231" t="s">
        <v>24</v>
      </c>
      <c r="AN17" s="198">
        <f t="shared" si="30"/>
        <v>0</v>
      </c>
      <c r="AO17" s="198">
        <f t="shared" si="30"/>
        <v>0</v>
      </c>
      <c r="AP17" s="198">
        <f t="shared" si="30"/>
        <v>0</v>
      </c>
      <c r="AQ17" s="198">
        <f t="shared" si="30"/>
        <v>0</v>
      </c>
      <c r="AR17" s="198">
        <f t="shared" si="30"/>
        <v>0</v>
      </c>
    </row>
    <row r="18" spans="1:44" x14ac:dyDescent="0.15">
      <c r="B18" s="191"/>
      <c r="C18" s="231"/>
      <c r="D18" s="198"/>
      <c r="E18" s="198"/>
      <c r="F18" s="198"/>
      <c r="G18" s="198"/>
      <c r="H18" s="198"/>
      <c r="J18" s="242"/>
      <c r="K18" s="191"/>
      <c r="L18" s="231"/>
      <c r="M18" s="198"/>
      <c r="N18" s="198"/>
      <c r="O18" s="198"/>
      <c r="P18" s="198"/>
      <c r="Q18" s="198"/>
      <c r="S18" s="242"/>
      <c r="T18" s="191"/>
      <c r="U18" s="231"/>
      <c r="V18" s="198"/>
      <c r="W18" s="198"/>
      <c r="X18" s="198"/>
      <c r="Y18" s="198"/>
      <c r="Z18" s="198"/>
      <c r="AC18" s="191"/>
      <c r="AD18" s="231"/>
      <c r="AE18" s="198"/>
      <c r="AF18" s="198"/>
      <c r="AG18" s="198"/>
      <c r="AH18" s="198"/>
      <c r="AI18" s="198"/>
      <c r="AK18" s="242"/>
      <c r="AL18" s="191"/>
      <c r="AM18" s="231"/>
      <c r="AN18" s="198"/>
      <c r="AO18" s="198"/>
      <c r="AP18" s="198"/>
      <c r="AQ18" s="198"/>
      <c r="AR18" s="198"/>
    </row>
    <row r="19" spans="1:44" x14ac:dyDescent="0.15">
      <c r="B19" s="200" t="s">
        <v>25</v>
      </c>
      <c r="C19" s="201"/>
      <c r="D19" s="202">
        <f>40%-$E$2-$H$3</f>
        <v>0.4</v>
      </c>
      <c r="E19" s="202">
        <f>50%-$E$2-$H$3</f>
        <v>0.5</v>
      </c>
      <c r="F19" s="202">
        <f>60%-$E$2-$H$3</f>
        <v>0.6</v>
      </c>
      <c r="G19" s="202">
        <f>70%-$E$2-$H$3</f>
        <v>0.7</v>
      </c>
      <c r="H19" s="202">
        <f>80%-$E$2-$H$3</f>
        <v>0.8</v>
      </c>
      <c r="J19" s="242"/>
      <c r="K19" s="200" t="s">
        <v>25</v>
      </c>
      <c r="L19" s="201"/>
      <c r="M19" s="202">
        <f>40%-$N$2-$Q$3</f>
        <v>0.4</v>
      </c>
      <c r="N19" s="202">
        <f>50%-$N$2-$Q$3</f>
        <v>0.5</v>
      </c>
      <c r="O19" s="202">
        <f>60%-$N$2-$Q$3</f>
        <v>0.6</v>
      </c>
      <c r="P19" s="202">
        <f>70%-$N$2-$Q$3</f>
        <v>0.7</v>
      </c>
      <c r="Q19" s="202">
        <f>80%-$N$2-$Q$3</f>
        <v>0.8</v>
      </c>
      <c r="S19" s="242"/>
      <c r="T19" s="200" t="s">
        <v>25</v>
      </c>
      <c r="U19" s="201"/>
      <c r="V19" s="202">
        <f>40%-$W$2-$Z$3</f>
        <v>0.4</v>
      </c>
      <c r="W19" s="202">
        <f>50%-$W$2-$Z$3</f>
        <v>0.5</v>
      </c>
      <c r="X19" s="202">
        <f>60%-$W$2-$Z$3</f>
        <v>0.6</v>
      </c>
      <c r="Y19" s="202">
        <f>70%-$W$2-$Z$3</f>
        <v>0.7</v>
      </c>
      <c r="Z19" s="202">
        <f>80%-$W$2-$Z$3</f>
        <v>0.8</v>
      </c>
      <c r="AC19" s="200" t="s">
        <v>25</v>
      </c>
      <c r="AD19" s="201"/>
      <c r="AE19" s="202">
        <f>40%-$AF$2-$AI$3</f>
        <v>0.4</v>
      </c>
      <c r="AF19" s="202">
        <f>50%-$AF$2-$AI$3</f>
        <v>0.5</v>
      </c>
      <c r="AG19" s="202">
        <f>60%-$AF$2-$AI$3</f>
        <v>0.6</v>
      </c>
      <c r="AH19" s="202">
        <f>70%-$AF$2-$AI$3</f>
        <v>0.7</v>
      </c>
      <c r="AI19" s="202">
        <f>80%-$AF$2-$AI$3</f>
        <v>0.8</v>
      </c>
      <c r="AK19" s="242"/>
      <c r="AL19" s="200" t="s">
        <v>25</v>
      </c>
      <c r="AM19" s="201"/>
      <c r="AN19" s="202">
        <f>40%-$AO$2-$AR$3</f>
        <v>0.4</v>
      </c>
      <c r="AO19" s="202">
        <f>50%-$AO$2-$AR$3</f>
        <v>0.5</v>
      </c>
      <c r="AP19" s="202">
        <f>60%-$AO$2-$AR$3</f>
        <v>0.6</v>
      </c>
      <c r="AQ19" s="202">
        <f>70%-$AO$2-$AR$3</f>
        <v>0.7</v>
      </c>
      <c r="AR19" s="202">
        <f>80%-$AO$2-$AR$3</f>
        <v>0.8</v>
      </c>
    </row>
    <row r="20" spans="1:44" x14ac:dyDescent="0.15">
      <c r="A20" s="233">
        <v>0.4</v>
      </c>
      <c r="B20" s="191" t="s">
        <v>26</v>
      </c>
      <c r="C20" s="203" t="s">
        <v>65</v>
      </c>
      <c r="D20" s="198">
        <f t="shared" ref="D20:E20" si="31">$A20*D$19</f>
        <v>0.16000000000000003</v>
      </c>
      <c r="E20" s="198">
        <f t="shared" si="31"/>
        <v>0.2</v>
      </c>
      <c r="F20" s="198">
        <f t="shared" ref="F20:F26" si="32">$A20*F$19</f>
        <v>0.24</v>
      </c>
      <c r="G20" s="198">
        <f t="shared" ref="G20:H20" si="33">$A20*G$19</f>
        <v>0.27999999999999997</v>
      </c>
      <c r="H20" s="198">
        <f t="shared" si="33"/>
        <v>0.32000000000000006</v>
      </c>
      <c r="J20" s="242">
        <v>0.4</v>
      </c>
      <c r="K20" s="191" t="s">
        <v>26</v>
      </c>
      <c r="L20" s="203" t="s">
        <v>65</v>
      </c>
      <c r="M20" s="198">
        <f t="shared" ref="M20:N26" si="34">$J20*M$19</f>
        <v>0.16000000000000003</v>
      </c>
      <c r="N20" s="198">
        <f t="shared" si="34"/>
        <v>0.2</v>
      </c>
      <c r="O20" s="198">
        <f>$J20*O$19</f>
        <v>0.24</v>
      </c>
      <c r="P20" s="198">
        <f t="shared" ref="P20:Q26" si="35">$J20*P$19</f>
        <v>0.27999999999999997</v>
      </c>
      <c r="Q20" s="198">
        <f t="shared" si="35"/>
        <v>0.32000000000000006</v>
      </c>
      <c r="S20" s="248">
        <v>0.4</v>
      </c>
      <c r="T20" s="191" t="s">
        <v>26</v>
      </c>
      <c r="U20" s="203" t="s">
        <v>65</v>
      </c>
      <c r="V20" s="198">
        <f>$S20*V$19</f>
        <v>0.16000000000000003</v>
      </c>
      <c r="W20" s="198">
        <f t="shared" ref="W20:Z20" si="36">$S20*W$19</f>
        <v>0.2</v>
      </c>
      <c r="X20" s="198">
        <f t="shared" si="36"/>
        <v>0.24</v>
      </c>
      <c r="Y20" s="198">
        <f t="shared" si="36"/>
        <v>0.27999999999999997</v>
      </c>
      <c r="Z20" s="198">
        <f t="shared" si="36"/>
        <v>0.32000000000000006</v>
      </c>
      <c r="AB20" s="250">
        <v>0.4</v>
      </c>
      <c r="AC20" s="191" t="s">
        <v>26</v>
      </c>
      <c r="AD20" s="203" t="s">
        <v>65</v>
      </c>
      <c r="AE20" s="198">
        <f>$AB20*AE$19</f>
        <v>0.16000000000000003</v>
      </c>
      <c r="AF20" s="198">
        <f t="shared" ref="AF20:AI20" si="37">$AB20*AF$19</f>
        <v>0.2</v>
      </c>
      <c r="AG20" s="198">
        <f t="shared" si="37"/>
        <v>0.24</v>
      </c>
      <c r="AH20" s="198">
        <f t="shared" si="37"/>
        <v>0.27999999999999997</v>
      </c>
      <c r="AI20" s="198">
        <f t="shared" si="37"/>
        <v>0.32000000000000006</v>
      </c>
      <c r="AK20" s="248">
        <v>0.4</v>
      </c>
      <c r="AL20" s="191" t="s">
        <v>26</v>
      </c>
      <c r="AM20" s="203" t="s">
        <v>65</v>
      </c>
      <c r="AN20" s="198">
        <f>$AK20*AN$19</f>
        <v>0.16000000000000003</v>
      </c>
      <c r="AO20" s="198">
        <f t="shared" ref="AO20:AR20" si="38">$AK20*AO$19</f>
        <v>0.2</v>
      </c>
      <c r="AP20" s="198">
        <f t="shared" si="38"/>
        <v>0.24</v>
      </c>
      <c r="AQ20" s="198">
        <f t="shared" si="38"/>
        <v>0.27999999999999997</v>
      </c>
      <c r="AR20" s="198">
        <f t="shared" si="38"/>
        <v>0.32000000000000006</v>
      </c>
    </row>
    <row r="21" spans="1:44" x14ac:dyDescent="0.15">
      <c r="A21" s="233">
        <v>0.15</v>
      </c>
      <c r="B21" s="191" t="s">
        <v>28</v>
      </c>
      <c r="C21" s="203" t="s">
        <v>451</v>
      </c>
      <c r="D21" s="198">
        <f t="shared" ref="D21:E26" si="39">$A21*D$19</f>
        <v>0.06</v>
      </c>
      <c r="E21" s="198">
        <f t="shared" si="39"/>
        <v>7.4999999999999997E-2</v>
      </c>
      <c r="F21" s="198">
        <f t="shared" si="32"/>
        <v>0.09</v>
      </c>
      <c r="G21" s="198">
        <f t="shared" ref="G21:H26" si="40">$A21*G$19</f>
        <v>0.105</v>
      </c>
      <c r="H21" s="198">
        <f t="shared" si="40"/>
        <v>0.12</v>
      </c>
      <c r="J21" s="242">
        <v>0.15</v>
      </c>
      <c r="K21" s="191" t="s">
        <v>28</v>
      </c>
      <c r="L21" s="203" t="s">
        <v>400</v>
      </c>
      <c r="M21" s="198">
        <f t="shared" si="34"/>
        <v>0.06</v>
      </c>
      <c r="N21" s="198">
        <f t="shared" si="34"/>
        <v>7.4999999999999997E-2</v>
      </c>
      <c r="O21" s="198">
        <f t="shared" ref="O21:O26" si="41">$J21*O$19</f>
        <v>0.09</v>
      </c>
      <c r="P21" s="198">
        <f t="shared" si="35"/>
        <v>0.105</v>
      </c>
      <c r="Q21" s="198">
        <f t="shared" si="35"/>
        <v>0.12</v>
      </c>
      <c r="S21" s="248">
        <v>0.1</v>
      </c>
      <c r="T21" s="191"/>
      <c r="U21" s="187" t="s">
        <v>402</v>
      </c>
      <c r="V21" s="198">
        <f t="shared" ref="V21:Z26" si="42">$S21*V$19</f>
        <v>4.0000000000000008E-2</v>
      </c>
      <c r="W21" s="198">
        <f t="shared" si="42"/>
        <v>0.05</v>
      </c>
      <c r="X21" s="198">
        <f t="shared" si="42"/>
        <v>0.06</v>
      </c>
      <c r="Y21" s="198">
        <f t="shared" si="42"/>
        <v>6.9999999999999993E-2</v>
      </c>
      <c r="Z21" s="198">
        <f t="shared" si="42"/>
        <v>8.0000000000000016E-2</v>
      </c>
      <c r="AB21" s="250">
        <v>0.15</v>
      </c>
      <c r="AC21" s="191"/>
      <c r="AD21" s="187" t="s">
        <v>400</v>
      </c>
      <c r="AE21" s="198">
        <f t="shared" ref="AE21:AI26" si="43">$AB21*AE$19</f>
        <v>0.06</v>
      </c>
      <c r="AF21" s="198">
        <f t="shared" si="43"/>
        <v>7.4999999999999997E-2</v>
      </c>
      <c r="AG21" s="198">
        <f t="shared" si="43"/>
        <v>0.09</v>
      </c>
      <c r="AH21" s="198">
        <f t="shared" si="43"/>
        <v>0.105</v>
      </c>
      <c r="AI21" s="198">
        <f t="shared" si="43"/>
        <v>0.12</v>
      </c>
      <c r="AK21" s="248">
        <v>0.1</v>
      </c>
      <c r="AL21" s="191"/>
      <c r="AM21" s="187" t="s">
        <v>402</v>
      </c>
      <c r="AN21" s="198">
        <f t="shared" ref="AN21:AR26" si="44">$AK21*AN$19</f>
        <v>4.0000000000000008E-2</v>
      </c>
      <c r="AO21" s="198">
        <f t="shared" si="44"/>
        <v>0.05</v>
      </c>
      <c r="AP21" s="198">
        <f t="shared" si="44"/>
        <v>0.06</v>
      </c>
      <c r="AQ21" s="198">
        <f t="shared" si="44"/>
        <v>6.9999999999999993E-2</v>
      </c>
      <c r="AR21" s="198">
        <f t="shared" si="44"/>
        <v>8.0000000000000016E-2</v>
      </c>
    </row>
    <row r="22" spans="1:44" x14ac:dyDescent="0.15">
      <c r="A22" s="233">
        <v>0.1</v>
      </c>
      <c r="B22" s="191"/>
      <c r="C22" s="203" t="s">
        <v>31</v>
      </c>
      <c r="D22" s="198">
        <f t="shared" si="39"/>
        <v>4.0000000000000008E-2</v>
      </c>
      <c r="E22" s="198">
        <f t="shared" si="39"/>
        <v>0.05</v>
      </c>
      <c r="F22" s="198">
        <f t="shared" si="32"/>
        <v>0.06</v>
      </c>
      <c r="G22" s="198">
        <f t="shared" si="40"/>
        <v>6.9999999999999993E-2</v>
      </c>
      <c r="H22" s="198">
        <f t="shared" si="40"/>
        <v>8.0000000000000016E-2</v>
      </c>
      <c r="J22" s="242">
        <v>0.1</v>
      </c>
      <c r="K22" s="191"/>
      <c r="L22" s="203" t="s">
        <v>401</v>
      </c>
      <c r="M22" s="198">
        <f t="shared" si="34"/>
        <v>4.0000000000000008E-2</v>
      </c>
      <c r="N22" s="198">
        <f t="shared" si="34"/>
        <v>0.05</v>
      </c>
      <c r="O22" s="198">
        <f t="shared" si="41"/>
        <v>0.06</v>
      </c>
      <c r="P22" s="198">
        <f t="shared" si="35"/>
        <v>6.9999999999999993E-2</v>
      </c>
      <c r="Q22" s="198">
        <f t="shared" si="35"/>
        <v>8.0000000000000016E-2</v>
      </c>
      <c r="S22" s="248">
        <v>0.15</v>
      </c>
      <c r="T22" s="191" t="s">
        <v>28</v>
      </c>
      <c r="U22" s="187" t="s">
        <v>400</v>
      </c>
      <c r="V22" s="198">
        <f t="shared" si="42"/>
        <v>0.06</v>
      </c>
      <c r="W22" s="198">
        <f t="shared" si="42"/>
        <v>7.4999999999999997E-2</v>
      </c>
      <c r="X22" s="198">
        <f t="shared" si="42"/>
        <v>0.09</v>
      </c>
      <c r="Y22" s="198">
        <f t="shared" si="42"/>
        <v>0.105</v>
      </c>
      <c r="Z22" s="198">
        <f t="shared" si="42"/>
        <v>0.12</v>
      </c>
      <c r="AB22" s="250">
        <v>0.15</v>
      </c>
      <c r="AC22" s="191" t="s">
        <v>28</v>
      </c>
      <c r="AD22" s="187" t="s">
        <v>401</v>
      </c>
      <c r="AE22" s="198">
        <f t="shared" si="43"/>
        <v>0.06</v>
      </c>
      <c r="AF22" s="198">
        <f t="shared" si="43"/>
        <v>7.4999999999999997E-2</v>
      </c>
      <c r="AG22" s="198">
        <f t="shared" si="43"/>
        <v>0.09</v>
      </c>
      <c r="AH22" s="198">
        <f t="shared" si="43"/>
        <v>0.105</v>
      </c>
      <c r="AI22" s="198">
        <f t="shared" si="43"/>
        <v>0.12</v>
      </c>
      <c r="AK22" s="248">
        <v>0.2</v>
      </c>
      <c r="AL22" s="191" t="s">
        <v>28</v>
      </c>
      <c r="AM22" s="187" t="s">
        <v>401</v>
      </c>
      <c r="AN22" s="198">
        <f t="shared" ref="AN22:AR24" si="45">$AK22*AN$19</f>
        <v>8.0000000000000016E-2</v>
      </c>
      <c r="AO22" s="198">
        <f t="shared" si="45"/>
        <v>0.1</v>
      </c>
      <c r="AP22" s="198">
        <f t="shared" si="45"/>
        <v>0.12</v>
      </c>
      <c r="AQ22" s="198">
        <f t="shared" si="45"/>
        <v>0.13999999999999999</v>
      </c>
      <c r="AR22" s="198">
        <f t="shared" si="45"/>
        <v>0.16000000000000003</v>
      </c>
    </row>
    <row r="23" spans="1:44" x14ac:dyDescent="0.15">
      <c r="A23" s="233">
        <v>0.1</v>
      </c>
      <c r="B23" s="191"/>
      <c r="C23" s="203" t="s">
        <v>32</v>
      </c>
      <c r="D23" s="198">
        <f t="shared" si="39"/>
        <v>4.0000000000000008E-2</v>
      </c>
      <c r="E23" s="198">
        <f t="shared" si="39"/>
        <v>0.05</v>
      </c>
      <c r="F23" s="198">
        <f t="shared" si="32"/>
        <v>0.06</v>
      </c>
      <c r="G23" s="198">
        <f t="shared" si="40"/>
        <v>6.9999999999999993E-2</v>
      </c>
      <c r="H23" s="198">
        <f t="shared" si="40"/>
        <v>8.0000000000000016E-2</v>
      </c>
      <c r="J23" s="242">
        <v>0.15</v>
      </c>
      <c r="K23" s="191"/>
      <c r="L23" s="203" t="s">
        <v>408</v>
      </c>
      <c r="M23" s="198">
        <f t="shared" si="34"/>
        <v>0.06</v>
      </c>
      <c r="N23" s="198">
        <f t="shared" si="34"/>
        <v>7.4999999999999997E-2</v>
      </c>
      <c r="O23" s="198">
        <f t="shared" si="41"/>
        <v>0.09</v>
      </c>
      <c r="P23" s="198">
        <f t="shared" si="35"/>
        <v>0.105</v>
      </c>
      <c r="Q23" s="198">
        <f t="shared" si="35"/>
        <v>0.12</v>
      </c>
      <c r="S23" s="248">
        <v>0.15</v>
      </c>
      <c r="T23" s="191"/>
      <c r="U23" s="187" t="s">
        <v>401</v>
      </c>
      <c r="V23" s="198">
        <f t="shared" si="42"/>
        <v>0.06</v>
      </c>
      <c r="W23" s="198">
        <f t="shared" si="42"/>
        <v>7.4999999999999997E-2</v>
      </c>
      <c r="X23" s="198">
        <f t="shared" si="42"/>
        <v>0.09</v>
      </c>
      <c r="Y23" s="198">
        <f t="shared" si="42"/>
        <v>0.105</v>
      </c>
      <c r="Z23" s="198">
        <f t="shared" si="42"/>
        <v>0.12</v>
      </c>
      <c r="AB23" s="250">
        <v>0.15</v>
      </c>
      <c r="AC23" s="191"/>
      <c r="AD23" s="187" t="s">
        <v>408</v>
      </c>
      <c r="AE23" s="198">
        <f t="shared" si="43"/>
        <v>0.06</v>
      </c>
      <c r="AF23" s="198">
        <f t="shared" si="43"/>
        <v>7.4999999999999997E-2</v>
      </c>
      <c r="AG23" s="198">
        <f t="shared" si="43"/>
        <v>0.09</v>
      </c>
      <c r="AH23" s="198">
        <f t="shared" si="43"/>
        <v>0.105</v>
      </c>
      <c r="AI23" s="198">
        <f t="shared" si="43"/>
        <v>0.12</v>
      </c>
      <c r="AK23" s="248">
        <v>0.2</v>
      </c>
      <c r="AL23" s="191"/>
      <c r="AM23" s="187" t="s">
        <v>408</v>
      </c>
      <c r="AN23" s="198">
        <f t="shared" si="45"/>
        <v>8.0000000000000016E-2</v>
      </c>
      <c r="AO23" s="198">
        <f t="shared" si="45"/>
        <v>0.1</v>
      </c>
      <c r="AP23" s="198">
        <f t="shared" si="45"/>
        <v>0.12</v>
      </c>
      <c r="AQ23" s="198">
        <f t="shared" si="45"/>
        <v>0.13999999999999999</v>
      </c>
      <c r="AR23" s="198">
        <f t="shared" si="45"/>
        <v>0.16000000000000003</v>
      </c>
    </row>
    <row r="24" spans="1:44" x14ac:dyDescent="0.15">
      <c r="A24" s="233">
        <v>0.1</v>
      </c>
      <c r="B24" s="191" t="s">
        <v>60</v>
      </c>
      <c r="C24" s="203" t="s">
        <v>414</v>
      </c>
      <c r="D24" s="198">
        <f t="shared" si="39"/>
        <v>4.0000000000000008E-2</v>
      </c>
      <c r="E24" s="198">
        <f t="shared" si="39"/>
        <v>0.05</v>
      </c>
      <c r="F24" s="198">
        <f t="shared" si="32"/>
        <v>0.06</v>
      </c>
      <c r="G24" s="198">
        <f t="shared" si="40"/>
        <v>6.9999999999999993E-2</v>
      </c>
      <c r="H24" s="198">
        <f t="shared" si="40"/>
        <v>8.0000000000000016E-2</v>
      </c>
      <c r="J24" s="242">
        <v>0.05</v>
      </c>
      <c r="K24" s="191"/>
      <c r="L24" s="203" t="s">
        <v>399</v>
      </c>
      <c r="M24" s="198">
        <f t="shared" si="34"/>
        <v>2.0000000000000004E-2</v>
      </c>
      <c r="N24" s="198">
        <f t="shared" si="34"/>
        <v>2.5000000000000001E-2</v>
      </c>
      <c r="O24" s="198">
        <f t="shared" si="41"/>
        <v>0.03</v>
      </c>
      <c r="P24" s="198">
        <f t="shared" si="35"/>
        <v>3.4999999999999996E-2</v>
      </c>
      <c r="Q24" s="198">
        <f t="shared" si="35"/>
        <v>4.0000000000000008E-2</v>
      </c>
      <c r="S24" s="248">
        <v>0.05</v>
      </c>
      <c r="T24" s="191" t="s">
        <v>60</v>
      </c>
      <c r="U24" s="187" t="s">
        <v>403</v>
      </c>
      <c r="V24" s="198">
        <f t="shared" si="42"/>
        <v>2.0000000000000004E-2</v>
      </c>
      <c r="W24" s="198">
        <f t="shared" si="42"/>
        <v>2.5000000000000001E-2</v>
      </c>
      <c r="X24" s="198">
        <f t="shared" si="42"/>
        <v>0.03</v>
      </c>
      <c r="Y24" s="198">
        <f t="shared" si="42"/>
        <v>3.4999999999999996E-2</v>
      </c>
      <c r="Z24" s="198">
        <f t="shared" si="42"/>
        <v>4.0000000000000008E-2</v>
      </c>
      <c r="AB24" s="250">
        <v>0.1</v>
      </c>
      <c r="AC24" s="191" t="s">
        <v>33</v>
      </c>
      <c r="AD24" s="187" t="s">
        <v>419</v>
      </c>
      <c r="AE24" s="198">
        <f t="shared" si="43"/>
        <v>4.0000000000000008E-2</v>
      </c>
      <c r="AF24" s="198">
        <f t="shared" si="43"/>
        <v>0.05</v>
      </c>
      <c r="AG24" s="198">
        <f t="shared" si="43"/>
        <v>0.06</v>
      </c>
      <c r="AH24" s="198">
        <f t="shared" si="43"/>
        <v>6.9999999999999993E-2</v>
      </c>
      <c r="AI24" s="198">
        <f t="shared" si="43"/>
        <v>8.0000000000000016E-2</v>
      </c>
      <c r="AK24" s="248">
        <v>0</v>
      </c>
      <c r="AL24" s="191" t="s">
        <v>33</v>
      </c>
      <c r="AM24" s="187" t="s">
        <v>395</v>
      </c>
      <c r="AN24" s="198">
        <f t="shared" si="45"/>
        <v>0</v>
      </c>
      <c r="AO24" s="198">
        <f t="shared" si="45"/>
        <v>0</v>
      </c>
      <c r="AP24" s="198">
        <f t="shared" si="45"/>
        <v>0</v>
      </c>
      <c r="AQ24" s="198">
        <f t="shared" si="45"/>
        <v>0</v>
      </c>
      <c r="AR24" s="198">
        <f t="shared" si="45"/>
        <v>0</v>
      </c>
    </row>
    <row r="25" spans="1:44" x14ac:dyDescent="0.15">
      <c r="A25" s="233">
        <v>0.1</v>
      </c>
      <c r="B25" s="191" t="s">
        <v>33</v>
      </c>
      <c r="C25" s="203" t="s">
        <v>59</v>
      </c>
      <c r="D25" s="198">
        <f t="shared" si="39"/>
        <v>4.0000000000000008E-2</v>
      </c>
      <c r="E25" s="198">
        <f t="shared" si="39"/>
        <v>0.05</v>
      </c>
      <c r="F25" s="198">
        <f t="shared" si="32"/>
        <v>0.06</v>
      </c>
      <c r="G25" s="198">
        <f t="shared" si="40"/>
        <v>6.9999999999999993E-2</v>
      </c>
      <c r="H25" s="198">
        <f t="shared" si="40"/>
        <v>8.0000000000000016E-2</v>
      </c>
      <c r="J25" s="242">
        <v>0.1</v>
      </c>
      <c r="K25" s="191" t="s">
        <v>33</v>
      </c>
      <c r="L25" s="203" t="s">
        <v>405</v>
      </c>
      <c r="M25" s="198">
        <f t="shared" si="34"/>
        <v>4.0000000000000008E-2</v>
      </c>
      <c r="N25" s="198">
        <f t="shared" si="34"/>
        <v>0.05</v>
      </c>
      <c r="O25" s="198">
        <f t="shared" si="41"/>
        <v>0.06</v>
      </c>
      <c r="P25" s="198">
        <f t="shared" si="35"/>
        <v>6.9999999999999993E-2</v>
      </c>
      <c r="Q25" s="198">
        <f t="shared" si="35"/>
        <v>8.0000000000000016E-2</v>
      </c>
      <c r="S25" s="249">
        <v>0.1</v>
      </c>
      <c r="T25" s="191" t="s">
        <v>33</v>
      </c>
      <c r="U25" s="210" t="s">
        <v>405</v>
      </c>
      <c r="V25" s="198">
        <f t="shared" si="42"/>
        <v>4.0000000000000008E-2</v>
      </c>
      <c r="W25" s="198">
        <f t="shared" si="42"/>
        <v>0.05</v>
      </c>
      <c r="X25" s="198">
        <f t="shared" si="42"/>
        <v>0.06</v>
      </c>
      <c r="Y25" s="198">
        <f t="shared" si="42"/>
        <v>6.9999999999999993E-2</v>
      </c>
      <c r="Z25" s="198">
        <f t="shared" si="42"/>
        <v>8.0000000000000016E-2</v>
      </c>
      <c r="AB25" s="243">
        <v>0</v>
      </c>
      <c r="AC25" s="191"/>
      <c r="AD25" s="210" t="s">
        <v>395</v>
      </c>
      <c r="AE25" s="198">
        <f t="shared" si="43"/>
        <v>0</v>
      </c>
      <c r="AF25" s="198">
        <f t="shared" si="43"/>
        <v>0</v>
      </c>
      <c r="AG25" s="198">
        <f t="shared" si="43"/>
        <v>0</v>
      </c>
      <c r="AH25" s="198">
        <f t="shared" si="43"/>
        <v>0</v>
      </c>
      <c r="AI25" s="198">
        <f t="shared" si="43"/>
        <v>0</v>
      </c>
      <c r="AK25" s="249">
        <v>0.05</v>
      </c>
      <c r="AL25" s="191" t="s">
        <v>60</v>
      </c>
      <c r="AM25" s="187" t="s">
        <v>403</v>
      </c>
      <c r="AN25" s="198">
        <f t="shared" si="44"/>
        <v>2.0000000000000004E-2</v>
      </c>
      <c r="AO25" s="198">
        <f t="shared" si="44"/>
        <v>2.5000000000000001E-2</v>
      </c>
      <c r="AP25" s="198">
        <f t="shared" si="44"/>
        <v>0.03</v>
      </c>
      <c r="AQ25" s="198">
        <f t="shared" si="44"/>
        <v>3.4999999999999996E-2</v>
      </c>
      <c r="AR25" s="198">
        <f t="shared" si="44"/>
        <v>4.0000000000000008E-2</v>
      </c>
    </row>
    <row r="26" spans="1:44" x14ac:dyDescent="0.15">
      <c r="A26" s="233">
        <v>0.05</v>
      </c>
      <c r="B26" s="191" t="s">
        <v>37</v>
      </c>
      <c r="C26" s="203" t="s">
        <v>38</v>
      </c>
      <c r="D26" s="198">
        <f t="shared" si="39"/>
        <v>2.0000000000000004E-2</v>
      </c>
      <c r="E26" s="198">
        <f t="shared" si="39"/>
        <v>2.5000000000000001E-2</v>
      </c>
      <c r="F26" s="198">
        <f t="shared" si="32"/>
        <v>0.03</v>
      </c>
      <c r="G26" s="198">
        <f t="shared" si="40"/>
        <v>3.4999999999999996E-2</v>
      </c>
      <c r="H26" s="198">
        <f t="shared" si="40"/>
        <v>4.0000000000000008E-2</v>
      </c>
      <c r="J26" s="242">
        <v>0.05</v>
      </c>
      <c r="K26" s="191" t="s">
        <v>37</v>
      </c>
      <c r="L26" s="203" t="s">
        <v>404</v>
      </c>
      <c r="M26" s="198">
        <f t="shared" si="34"/>
        <v>2.0000000000000004E-2</v>
      </c>
      <c r="N26" s="198">
        <f t="shared" si="34"/>
        <v>2.5000000000000001E-2</v>
      </c>
      <c r="O26" s="198">
        <f t="shared" si="41"/>
        <v>0.03</v>
      </c>
      <c r="P26" s="198">
        <f t="shared" si="35"/>
        <v>3.4999999999999996E-2</v>
      </c>
      <c r="Q26" s="198">
        <f t="shared" si="35"/>
        <v>4.0000000000000008E-2</v>
      </c>
      <c r="S26" s="242">
        <v>0.05</v>
      </c>
      <c r="T26" s="191" t="s">
        <v>37</v>
      </c>
      <c r="U26" s="187" t="s">
        <v>404</v>
      </c>
      <c r="V26" s="198">
        <f t="shared" si="42"/>
        <v>2.0000000000000004E-2</v>
      </c>
      <c r="W26" s="198">
        <f t="shared" si="42"/>
        <v>2.5000000000000001E-2</v>
      </c>
      <c r="X26" s="198">
        <f t="shared" si="42"/>
        <v>0.03</v>
      </c>
      <c r="Y26" s="198">
        <f t="shared" si="42"/>
        <v>3.4999999999999996E-2</v>
      </c>
      <c r="Z26" s="198">
        <f t="shared" si="42"/>
        <v>4.0000000000000008E-2</v>
      </c>
      <c r="AB26" s="242">
        <v>0.05</v>
      </c>
      <c r="AC26" s="191" t="s">
        <v>37</v>
      </c>
      <c r="AD26" s="187" t="s">
        <v>404</v>
      </c>
      <c r="AE26" s="198">
        <f t="shared" si="43"/>
        <v>2.0000000000000004E-2</v>
      </c>
      <c r="AF26" s="198">
        <f t="shared" si="43"/>
        <v>2.5000000000000001E-2</v>
      </c>
      <c r="AG26" s="198">
        <f t="shared" si="43"/>
        <v>0.03</v>
      </c>
      <c r="AH26" s="198">
        <f t="shared" si="43"/>
        <v>3.4999999999999996E-2</v>
      </c>
      <c r="AI26" s="198">
        <f t="shared" si="43"/>
        <v>4.0000000000000008E-2</v>
      </c>
      <c r="AK26" s="242">
        <v>0.05</v>
      </c>
      <c r="AL26" s="191" t="s">
        <v>37</v>
      </c>
      <c r="AM26" s="187" t="s">
        <v>404</v>
      </c>
      <c r="AN26" s="198">
        <f t="shared" si="44"/>
        <v>2.0000000000000004E-2</v>
      </c>
      <c r="AO26" s="198">
        <f t="shared" si="44"/>
        <v>2.5000000000000001E-2</v>
      </c>
      <c r="AP26" s="198">
        <f t="shared" si="44"/>
        <v>0.03</v>
      </c>
      <c r="AQ26" s="198">
        <f t="shared" si="44"/>
        <v>3.4999999999999996E-2</v>
      </c>
      <c r="AR26" s="198">
        <f t="shared" si="44"/>
        <v>4.0000000000000008E-2</v>
      </c>
    </row>
    <row r="27" spans="1:44" x14ac:dyDescent="0.15">
      <c r="B27" s="191"/>
      <c r="C27" s="199"/>
      <c r="D27" s="198"/>
      <c r="E27" s="198"/>
      <c r="F27" s="198"/>
      <c r="G27" s="198"/>
      <c r="H27" s="198"/>
      <c r="J27" s="242"/>
      <c r="K27" s="191"/>
      <c r="L27" s="199"/>
      <c r="M27" s="198"/>
      <c r="N27" s="198"/>
      <c r="O27" s="198"/>
      <c r="P27" s="198"/>
      <c r="Q27" s="198"/>
      <c r="S27" s="242"/>
      <c r="T27" s="191"/>
      <c r="U27" s="199"/>
      <c r="V27" s="198"/>
      <c r="W27" s="198"/>
      <c r="X27" s="198"/>
      <c r="Y27" s="198"/>
      <c r="Z27" s="198"/>
      <c r="AC27" s="191"/>
      <c r="AD27" s="199"/>
      <c r="AE27" s="198"/>
      <c r="AF27" s="198"/>
      <c r="AG27" s="198"/>
      <c r="AH27" s="198"/>
      <c r="AI27" s="198"/>
      <c r="AK27" s="242"/>
      <c r="AL27" s="191"/>
      <c r="AM27" s="199"/>
      <c r="AN27" s="198"/>
      <c r="AO27" s="198"/>
      <c r="AP27" s="198"/>
      <c r="AQ27" s="198"/>
      <c r="AR27" s="198"/>
    </row>
    <row r="28" spans="1:44" x14ac:dyDescent="0.15">
      <c r="B28" s="204" t="s">
        <v>40</v>
      </c>
      <c r="C28" s="205"/>
      <c r="D28" s="206">
        <f>$E$2</f>
        <v>0</v>
      </c>
      <c r="E28" s="206">
        <f>$E$2</f>
        <v>0</v>
      </c>
      <c r="F28" s="206">
        <f>$E$2</f>
        <v>0</v>
      </c>
      <c r="G28" s="206">
        <f>$E$2</f>
        <v>0</v>
      </c>
      <c r="H28" s="206">
        <f>$E$2</f>
        <v>0</v>
      </c>
      <c r="J28" s="242"/>
      <c r="K28" s="204" t="s">
        <v>40</v>
      </c>
      <c r="L28" s="205"/>
      <c r="M28" s="206">
        <f>$N$2</f>
        <v>0</v>
      </c>
      <c r="N28" s="206">
        <f t="shared" ref="N28:Q28" si="46">$N$2</f>
        <v>0</v>
      </c>
      <c r="O28" s="206">
        <f t="shared" si="46"/>
        <v>0</v>
      </c>
      <c r="P28" s="206">
        <f t="shared" si="46"/>
        <v>0</v>
      </c>
      <c r="Q28" s="206">
        <f t="shared" si="46"/>
        <v>0</v>
      </c>
      <c r="S28" s="242"/>
      <c r="T28" s="204" t="s">
        <v>40</v>
      </c>
      <c r="U28" s="205"/>
      <c r="V28" s="206">
        <f>$W$2</f>
        <v>0</v>
      </c>
      <c r="W28" s="206">
        <f t="shared" ref="W28:Z28" si="47">$W$2</f>
        <v>0</v>
      </c>
      <c r="X28" s="206">
        <f t="shared" si="47"/>
        <v>0</v>
      </c>
      <c r="Y28" s="206">
        <f t="shared" si="47"/>
        <v>0</v>
      </c>
      <c r="Z28" s="206">
        <f t="shared" si="47"/>
        <v>0</v>
      </c>
      <c r="AC28" s="204" t="s">
        <v>40</v>
      </c>
      <c r="AD28" s="205"/>
      <c r="AE28" s="206">
        <f>$AF$2</f>
        <v>0</v>
      </c>
      <c r="AF28" s="206">
        <f t="shared" ref="AF28:AI28" si="48">$AF$2</f>
        <v>0</v>
      </c>
      <c r="AG28" s="206">
        <f>$AF$2</f>
        <v>0</v>
      </c>
      <c r="AH28" s="206">
        <f t="shared" si="48"/>
        <v>0</v>
      </c>
      <c r="AI28" s="206">
        <f t="shared" si="48"/>
        <v>0</v>
      </c>
      <c r="AK28" s="242"/>
      <c r="AL28" s="204" t="s">
        <v>40</v>
      </c>
      <c r="AM28" s="205"/>
      <c r="AN28" s="206">
        <f>$AO$2</f>
        <v>0</v>
      </c>
      <c r="AO28" s="206">
        <f t="shared" ref="AO28:AR28" si="49">$AO$2</f>
        <v>0</v>
      </c>
      <c r="AP28" s="206">
        <f t="shared" si="49"/>
        <v>0</v>
      </c>
      <c r="AQ28" s="206">
        <f t="shared" si="49"/>
        <v>0</v>
      </c>
      <c r="AR28" s="206">
        <f t="shared" si="49"/>
        <v>0</v>
      </c>
    </row>
    <row r="29" spans="1:44" x14ac:dyDescent="0.15">
      <c r="A29" s="233">
        <v>0.3</v>
      </c>
      <c r="B29" s="232" t="s">
        <v>452</v>
      </c>
      <c r="C29" s="203" t="s">
        <v>455</v>
      </c>
      <c r="D29" s="198">
        <f t="shared" ref="D29:H31" si="50">$A29*D$28</f>
        <v>0</v>
      </c>
      <c r="E29" s="198">
        <f t="shared" si="50"/>
        <v>0</v>
      </c>
      <c r="F29" s="198">
        <f t="shared" si="50"/>
        <v>0</v>
      </c>
      <c r="G29" s="198">
        <f t="shared" si="50"/>
        <v>0</v>
      </c>
      <c r="H29" s="198">
        <f t="shared" si="50"/>
        <v>0</v>
      </c>
      <c r="J29" s="242">
        <v>0.25</v>
      </c>
      <c r="K29" s="232" t="s">
        <v>452</v>
      </c>
      <c r="L29" s="203" t="s">
        <v>455</v>
      </c>
      <c r="M29" s="198">
        <f>$J29*M$28</f>
        <v>0</v>
      </c>
      <c r="N29" s="198">
        <f t="shared" ref="N29:Q29" si="51">$J29*N$28</f>
        <v>0</v>
      </c>
      <c r="O29" s="198">
        <f t="shared" si="51"/>
        <v>0</v>
      </c>
      <c r="P29" s="198">
        <f t="shared" si="51"/>
        <v>0</v>
      </c>
      <c r="Q29" s="198">
        <f t="shared" si="51"/>
        <v>0</v>
      </c>
      <c r="S29" s="242">
        <v>0.25</v>
      </c>
      <c r="T29" s="232" t="s">
        <v>452</v>
      </c>
      <c r="U29" s="203" t="s">
        <v>455</v>
      </c>
      <c r="V29" s="198">
        <f>$S29*V$28</f>
        <v>0</v>
      </c>
      <c r="W29" s="198">
        <f t="shared" ref="W29:Z29" si="52">$S29*W$28</f>
        <v>0</v>
      </c>
      <c r="X29" s="198">
        <f t="shared" si="52"/>
        <v>0</v>
      </c>
      <c r="Y29" s="198">
        <f t="shared" si="52"/>
        <v>0</v>
      </c>
      <c r="Z29" s="198">
        <f t="shared" si="52"/>
        <v>0</v>
      </c>
      <c r="AB29" s="242">
        <v>0.25</v>
      </c>
      <c r="AC29" s="232" t="s">
        <v>452</v>
      </c>
      <c r="AD29" s="203" t="s">
        <v>455</v>
      </c>
      <c r="AE29" s="198">
        <f>$AB29*AE$28</f>
        <v>0</v>
      </c>
      <c r="AF29" s="198">
        <f>$AB29*AF$28</f>
        <v>0</v>
      </c>
      <c r="AG29" s="198">
        <f t="shared" ref="AG29:AI29" si="53">$AB29*AG$28</f>
        <v>0</v>
      </c>
      <c r="AH29" s="198">
        <f t="shared" si="53"/>
        <v>0</v>
      </c>
      <c r="AI29" s="198">
        <f t="shared" si="53"/>
        <v>0</v>
      </c>
      <c r="AK29" s="242">
        <v>0</v>
      </c>
      <c r="AL29" s="232" t="s">
        <v>452</v>
      </c>
      <c r="AM29" s="203" t="s">
        <v>455</v>
      </c>
      <c r="AN29" s="198">
        <f t="shared" ref="AN29:AN36" si="54">$AK29*AN$28</f>
        <v>0</v>
      </c>
      <c r="AO29" s="198">
        <f t="shared" ref="AO29:AR29" si="55">$AK29*AO$28</f>
        <v>0</v>
      </c>
      <c r="AP29" s="198">
        <f t="shared" si="55"/>
        <v>0</v>
      </c>
      <c r="AQ29" s="198">
        <f t="shared" si="55"/>
        <v>0</v>
      </c>
      <c r="AR29" s="198">
        <f t="shared" si="55"/>
        <v>0</v>
      </c>
    </row>
    <row r="30" spans="1:44" x14ac:dyDescent="0.15">
      <c r="A30" s="233">
        <v>0.4</v>
      </c>
      <c r="B30" s="191"/>
      <c r="C30" s="203" t="s">
        <v>456</v>
      </c>
      <c r="D30" s="198">
        <f t="shared" si="50"/>
        <v>0</v>
      </c>
      <c r="E30" s="198">
        <f t="shared" si="50"/>
        <v>0</v>
      </c>
      <c r="F30" s="198">
        <f t="shared" si="50"/>
        <v>0</v>
      </c>
      <c r="G30" s="198">
        <f t="shared" si="50"/>
        <v>0</v>
      </c>
      <c r="H30" s="198">
        <f t="shared" si="50"/>
        <v>0</v>
      </c>
      <c r="J30" s="242">
        <v>0</v>
      </c>
      <c r="K30" s="191"/>
      <c r="L30" s="203" t="s">
        <v>456</v>
      </c>
      <c r="M30" s="198">
        <f t="shared" ref="M30:Q36" si="56">$J30*M$28</f>
        <v>0</v>
      </c>
      <c r="N30" s="198">
        <f t="shared" si="56"/>
        <v>0</v>
      </c>
      <c r="O30" s="198">
        <f t="shared" si="56"/>
        <v>0</v>
      </c>
      <c r="P30" s="198">
        <f t="shared" si="56"/>
        <v>0</v>
      </c>
      <c r="Q30" s="198">
        <f t="shared" si="56"/>
        <v>0</v>
      </c>
      <c r="S30" s="242">
        <v>0</v>
      </c>
      <c r="T30" s="191"/>
      <c r="U30" s="203" t="s">
        <v>456</v>
      </c>
      <c r="V30" s="198">
        <f t="shared" ref="V30:Z36" si="57">$S30*V$28</f>
        <v>0</v>
      </c>
      <c r="W30" s="198">
        <f t="shared" si="57"/>
        <v>0</v>
      </c>
      <c r="X30" s="198">
        <f t="shared" si="57"/>
        <v>0</v>
      </c>
      <c r="Y30" s="198">
        <f t="shared" si="57"/>
        <v>0</v>
      </c>
      <c r="Z30" s="198">
        <f t="shared" si="57"/>
        <v>0</v>
      </c>
      <c r="AB30" s="242">
        <v>0</v>
      </c>
      <c r="AC30" s="191"/>
      <c r="AD30" s="203" t="s">
        <v>456</v>
      </c>
      <c r="AE30" s="198">
        <f t="shared" ref="AE30:AI36" si="58">$AB30*AE$28</f>
        <v>0</v>
      </c>
      <c r="AF30" s="198">
        <f t="shared" si="58"/>
        <v>0</v>
      </c>
      <c r="AG30" s="198">
        <f t="shared" si="58"/>
        <v>0</v>
      </c>
      <c r="AH30" s="198">
        <f t="shared" si="58"/>
        <v>0</v>
      </c>
      <c r="AI30" s="198">
        <f t="shared" si="58"/>
        <v>0</v>
      </c>
      <c r="AK30" s="242">
        <v>0</v>
      </c>
      <c r="AL30" s="191"/>
      <c r="AM30" s="203" t="s">
        <v>456</v>
      </c>
      <c r="AN30" s="198">
        <f t="shared" si="54"/>
        <v>0</v>
      </c>
      <c r="AO30" s="198">
        <f t="shared" ref="AO30:AR36" si="59">$AK30*AO$28</f>
        <v>0</v>
      </c>
      <c r="AP30" s="198">
        <f t="shared" si="59"/>
        <v>0</v>
      </c>
      <c r="AQ30" s="198">
        <f t="shared" si="59"/>
        <v>0</v>
      </c>
      <c r="AR30" s="198">
        <f t="shared" si="59"/>
        <v>0</v>
      </c>
    </row>
    <row r="31" spans="1:44" x14ac:dyDescent="0.15">
      <c r="A31" s="233">
        <v>0.3</v>
      </c>
      <c r="B31" s="191" t="s">
        <v>453</v>
      </c>
      <c r="C31" s="216" t="s">
        <v>41</v>
      </c>
      <c r="D31" s="198">
        <f t="shared" si="50"/>
        <v>0</v>
      </c>
      <c r="E31" s="198">
        <f t="shared" si="50"/>
        <v>0</v>
      </c>
      <c r="F31" s="198">
        <f t="shared" si="50"/>
        <v>0</v>
      </c>
      <c r="G31" s="198">
        <f t="shared" si="50"/>
        <v>0</v>
      </c>
      <c r="H31" s="198">
        <f t="shared" si="50"/>
        <v>0</v>
      </c>
      <c r="J31" s="242">
        <v>0.25</v>
      </c>
      <c r="K31" s="191" t="s">
        <v>453</v>
      </c>
      <c r="L31" s="216" t="s">
        <v>41</v>
      </c>
      <c r="M31" s="198">
        <f t="shared" si="56"/>
        <v>0</v>
      </c>
      <c r="N31" s="198">
        <f t="shared" si="56"/>
        <v>0</v>
      </c>
      <c r="O31" s="198">
        <f t="shared" si="56"/>
        <v>0</v>
      </c>
      <c r="P31" s="198">
        <f t="shared" si="56"/>
        <v>0</v>
      </c>
      <c r="Q31" s="198">
        <f t="shared" si="56"/>
        <v>0</v>
      </c>
      <c r="S31" s="242">
        <v>0.25</v>
      </c>
      <c r="T31" s="191" t="s">
        <v>453</v>
      </c>
      <c r="U31" s="216" t="s">
        <v>41</v>
      </c>
      <c r="V31" s="198">
        <f t="shared" si="57"/>
        <v>0</v>
      </c>
      <c r="W31" s="198">
        <f t="shared" si="57"/>
        <v>0</v>
      </c>
      <c r="X31" s="198">
        <f t="shared" si="57"/>
        <v>0</v>
      </c>
      <c r="Y31" s="198">
        <f t="shared" si="57"/>
        <v>0</v>
      </c>
      <c r="Z31" s="198">
        <f t="shared" si="57"/>
        <v>0</v>
      </c>
      <c r="AB31" s="242">
        <v>0</v>
      </c>
      <c r="AC31" s="191" t="s">
        <v>453</v>
      </c>
      <c r="AD31" s="216" t="s">
        <v>41</v>
      </c>
      <c r="AE31" s="198">
        <f t="shared" si="58"/>
        <v>0</v>
      </c>
      <c r="AF31" s="198">
        <f t="shared" si="58"/>
        <v>0</v>
      </c>
      <c r="AG31" s="198">
        <f t="shared" si="58"/>
        <v>0</v>
      </c>
      <c r="AH31" s="198">
        <f t="shared" si="58"/>
        <v>0</v>
      </c>
      <c r="AI31" s="198">
        <f t="shared" si="58"/>
        <v>0</v>
      </c>
      <c r="AK31" s="242">
        <v>0</v>
      </c>
      <c r="AL31" s="191" t="s">
        <v>453</v>
      </c>
      <c r="AM31" s="216" t="s">
        <v>41</v>
      </c>
      <c r="AN31" s="198">
        <f t="shared" si="54"/>
        <v>0</v>
      </c>
      <c r="AO31" s="198">
        <f t="shared" si="59"/>
        <v>0</v>
      </c>
      <c r="AP31" s="198">
        <f t="shared" si="59"/>
        <v>0</v>
      </c>
      <c r="AQ31" s="198">
        <f t="shared" si="59"/>
        <v>0</v>
      </c>
      <c r="AR31" s="198">
        <f t="shared" si="59"/>
        <v>0</v>
      </c>
    </row>
    <row r="32" spans="1:44" x14ac:dyDescent="0.15">
      <c r="A32" s="233">
        <v>0</v>
      </c>
      <c r="B32" s="191"/>
      <c r="C32" s="216" t="s">
        <v>44</v>
      </c>
      <c r="D32" s="198">
        <f t="shared" ref="D32:H36" si="60">$A32*D$28</f>
        <v>0</v>
      </c>
      <c r="E32" s="198">
        <f t="shared" si="60"/>
        <v>0</v>
      </c>
      <c r="F32" s="198">
        <f t="shared" si="60"/>
        <v>0</v>
      </c>
      <c r="G32" s="198">
        <f t="shared" si="60"/>
        <v>0</v>
      </c>
      <c r="H32" s="198">
        <f t="shared" si="60"/>
        <v>0</v>
      </c>
      <c r="J32" s="242">
        <v>0.1</v>
      </c>
      <c r="K32" s="191"/>
      <c r="L32" s="216" t="s">
        <v>44</v>
      </c>
      <c r="M32" s="198">
        <f t="shared" si="56"/>
        <v>0</v>
      </c>
      <c r="N32" s="198">
        <f t="shared" si="56"/>
        <v>0</v>
      </c>
      <c r="O32" s="198">
        <f t="shared" si="56"/>
        <v>0</v>
      </c>
      <c r="P32" s="198">
        <f t="shared" si="56"/>
        <v>0</v>
      </c>
      <c r="Q32" s="198">
        <f t="shared" si="56"/>
        <v>0</v>
      </c>
      <c r="S32" s="242">
        <v>0.25</v>
      </c>
      <c r="T32" s="191"/>
      <c r="U32" s="216" t="s">
        <v>44</v>
      </c>
      <c r="V32" s="198">
        <f t="shared" si="57"/>
        <v>0</v>
      </c>
      <c r="W32" s="198">
        <f t="shared" si="57"/>
        <v>0</v>
      </c>
      <c r="X32" s="198">
        <f t="shared" si="57"/>
        <v>0</v>
      </c>
      <c r="Y32" s="198">
        <f t="shared" si="57"/>
        <v>0</v>
      </c>
      <c r="Z32" s="198">
        <f t="shared" si="57"/>
        <v>0</v>
      </c>
      <c r="AB32" s="242">
        <v>0</v>
      </c>
      <c r="AC32" s="191"/>
      <c r="AD32" s="216" t="s">
        <v>44</v>
      </c>
      <c r="AE32" s="198">
        <f t="shared" si="58"/>
        <v>0</v>
      </c>
      <c r="AF32" s="198">
        <f t="shared" si="58"/>
        <v>0</v>
      </c>
      <c r="AG32" s="198">
        <f t="shared" si="58"/>
        <v>0</v>
      </c>
      <c r="AH32" s="198">
        <f t="shared" si="58"/>
        <v>0</v>
      </c>
      <c r="AI32" s="198">
        <f t="shared" si="58"/>
        <v>0</v>
      </c>
      <c r="AK32" s="242">
        <v>0</v>
      </c>
      <c r="AL32" s="191"/>
      <c r="AM32" s="216" t="s">
        <v>44</v>
      </c>
      <c r="AN32" s="198">
        <f t="shared" si="54"/>
        <v>0</v>
      </c>
      <c r="AO32" s="198">
        <f t="shared" si="59"/>
        <v>0</v>
      </c>
      <c r="AP32" s="198">
        <f t="shared" si="59"/>
        <v>0</v>
      </c>
      <c r="AQ32" s="198">
        <f t="shared" si="59"/>
        <v>0</v>
      </c>
      <c r="AR32" s="198">
        <f t="shared" si="59"/>
        <v>0</v>
      </c>
    </row>
    <row r="33" spans="1:44" x14ac:dyDescent="0.15">
      <c r="A33" s="233">
        <v>0</v>
      </c>
      <c r="B33" s="191"/>
      <c r="C33" s="216" t="s">
        <v>94</v>
      </c>
      <c r="D33" s="198">
        <f t="shared" si="60"/>
        <v>0</v>
      </c>
      <c r="E33" s="198">
        <f t="shared" si="60"/>
        <v>0</v>
      </c>
      <c r="F33" s="198">
        <f t="shared" si="60"/>
        <v>0</v>
      </c>
      <c r="G33" s="198">
        <f t="shared" si="60"/>
        <v>0</v>
      </c>
      <c r="H33" s="198">
        <f t="shared" si="60"/>
        <v>0</v>
      </c>
      <c r="J33" s="242">
        <v>0.15</v>
      </c>
      <c r="K33" s="191"/>
      <c r="L33" s="216" t="s">
        <v>94</v>
      </c>
      <c r="M33" s="198">
        <f t="shared" si="56"/>
        <v>0</v>
      </c>
      <c r="N33" s="198">
        <f t="shared" si="56"/>
        <v>0</v>
      </c>
      <c r="O33" s="198">
        <f t="shared" si="56"/>
        <v>0</v>
      </c>
      <c r="P33" s="198">
        <f t="shared" si="56"/>
        <v>0</v>
      </c>
      <c r="Q33" s="198">
        <f t="shared" si="56"/>
        <v>0</v>
      </c>
      <c r="S33" s="242">
        <v>0.25</v>
      </c>
      <c r="T33" s="191"/>
      <c r="U33" s="216" t="s">
        <v>94</v>
      </c>
      <c r="V33" s="198">
        <f t="shared" si="57"/>
        <v>0</v>
      </c>
      <c r="W33" s="198">
        <f t="shared" si="57"/>
        <v>0</v>
      </c>
      <c r="X33" s="198">
        <f t="shared" si="57"/>
        <v>0</v>
      </c>
      <c r="Y33" s="198">
        <f t="shared" si="57"/>
        <v>0</v>
      </c>
      <c r="Z33" s="198">
        <f t="shared" si="57"/>
        <v>0</v>
      </c>
      <c r="AB33" s="242">
        <v>0</v>
      </c>
      <c r="AC33" s="191"/>
      <c r="AD33" s="216" t="s">
        <v>94</v>
      </c>
      <c r="AE33" s="198">
        <f t="shared" si="58"/>
        <v>0</v>
      </c>
      <c r="AF33" s="198">
        <f t="shared" si="58"/>
        <v>0</v>
      </c>
      <c r="AG33" s="198">
        <f t="shared" si="58"/>
        <v>0</v>
      </c>
      <c r="AH33" s="198">
        <f t="shared" si="58"/>
        <v>0</v>
      </c>
      <c r="AI33" s="198">
        <f t="shared" si="58"/>
        <v>0</v>
      </c>
      <c r="AK33" s="242">
        <v>0</v>
      </c>
      <c r="AL33" s="191"/>
      <c r="AM33" s="216" t="s">
        <v>94</v>
      </c>
      <c r="AN33" s="198">
        <f t="shared" si="54"/>
        <v>0</v>
      </c>
      <c r="AO33" s="198">
        <f t="shared" si="59"/>
        <v>0</v>
      </c>
      <c r="AP33" s="198">
        <f t="shared" si="59"/>
        <v>0</v>
      </c>
      <c r="AQ33" s="198">
        <f t="shared" si="59"/>
        <v>0</v>
      </c>
      <c r="AR33" s="198">
        <f t="shared" si="59"/>
        <v>0</v>
      </c>
    </row>
    <row r="34" spans="1:44" x14ac:dyDescent="0.15">
      <c r="A34" s="233">
        <v>0</v>
      </c>
      <c r="B34" s="191"/>
      <c r="C34" s="216" t="s">
        <v>454</v>
      </c>
      <c r="D34" s="198">
        <f t="shared" si="60"/>
        <v>0</v>
      </c>
      <c r="E34" s="198">
        <f t="shared" si="60"/>
        <v>0</v>
      </c>
      <c r="F34" s="198">
        <f t="shared" si="60"/>
        <v>0</v>
      </c>
      <c r="G34" s="198">
        <f t="shared" si="60"/>
        <v>0</v>
      </c>
      <c r="H34" s="198">
        <f t="shared" si="60"/>
        <v>0</v>
      </c>
      <c r="J34" s="242">
        <v>0.25</v>
      </c>
      <c r="K34" s="191"/>
      <c r="L34" s="216" t="s">
        <v>454</v>
      </c>
      <c r="M34" s="198">
        <f t="shared" si="56"/>
        <v>0</v>
      </c>
      <c r="N34" s="198">
        <f t="shared" si="56"/>
        <v>0</v>
      </c>
      <c r="O34" s="198">
        <f t="shared" si="56"/>
        <v>0</v>
      </c>
      <c r="P34" s="198">
        <f t="shared" si="56"/>
        <v>0</v>
      </c>
      <c r="Q34" s="198">
        <f t="shared" si="56"/>
        <v>0</v>
      </c>
      <c r="S34" s="242">
        <v>0</v>
      </c>
      <c r="T34" s="191"/>
      <c r="U34" s="216" t="s">
        <v>454</v>
      </c>
      <c r="V34" s="198">
        <f t="shared" si="57"/>
        <v>0</v>
      </c>
      <c r="W34" s="198">
        <f t="shared" si="57"/>
        <v>0</v>
      </c>
      <c r="X34" s="198">
        <f t="shared" si="57"/>
        <v>0</v>
      </c>
      <c r="Y34" s="198">
        <f t="shared" si="57"/>
        <v>0</v>
      </c>
      <c r="Z34" s="198">
        <f t="shared" si="57"/>
        <v>0</v>
      </c>
      <c r="AB34" s="242">
        <v>0.25</v>
      </c>
      <c r="AC34" s="191"/>
      <c r="AD34" s="216" t="s">
        <v>454</v>
      </c>
      <c r="AE34" s="198">
        <f t="shared" si="58"/>
        <v>0</v>
      </c>
      <c r="AF34" s="198">
        <f t="shared" si="58"/>
        <v>0</v>
      </c>
      <c r="AG34" s="198">
        <f t="shared" si="58"/>
        <v>0</v>
      </c>
      <c r="AH34" s="198">
        <f t="shared" si="58"/>
        <v>0</v>
      </c>
      <c r="AI34" s="198">
        <f t="shared" si="58"/>
        <v>0</v>
      </c>
      <c r="AK34" s="242">
        <v>0</v>
      </c>
      <c r="AL34" s="191"/>
      <c r="AM34" s="216" t="s">
        <v>454</v>
      </c>
      <c r="AN34" s="198">
        <f t="shared" si="54"/>
        <v>0</v>
      </c>
      <c r="AO34" s="198">
        <f t="shared" si="59"/>
        <v>0</v>
      </c>
      <c r="AP34" s="198">
        <f t="shared" si="59"/>
        <v>0</v>
      </c>
      <c r="AQ34" s="198">
        <f t="shared" si="59"/>
        <v>0</v>
      </c>
      <c r="AR34" s="198">
        <f t="shared" si="59"/>
        <v>0</v>
      </c>
    </row>
    <row r="35" spans="1:44" x14ac:dyDescent="0.15">
      <c r="A35" s="233">
        <v>0</v>
      </c>
      <c r="B35" s="191"/>
      <c r="C35" s="216" t="s">
        <v>434</v>
      </c>
      <c r="D35" s="198">
        <f t="shared" si="60"/>
        <v>0</v>
      </c>
      <c r="E35" s="198">
        <f t="shared" si="60"/>
        <v>0</v>
      </c>
      <c r="F35" s="198">
        <f t="shared" si="60"/>
        <v>0</v>
      </c>
      <c r="G35" s="198">
        <f t="shared" si="60"/>
        <v>0</v>
      </c>
      <c r="H35" s="198">
        <f t="shared" si="60"/>
        <v>0</v>
      </c>
      <c r="J35" s="242">
        <v>0</v>
      </c>
      <c r="K35" s="191"/>
      <c r="L35" s="216" t="s">
        <v>434</v>
      </c>
      <c r="M35" s="198">
        <f t="shared" si="56"/>
        <v>0</v>
      </c>
      <c r="N35" s="198">
        <f t="shared" si="56"/>
        <v>0</v>
      </c>
      <c r="O35" s="198">
        <f t="shared" si="56"/>
        <v>0</v>
      </c>
      <c r="P35" s="198">
        <f t="shared" si="56"/>
        <v>0</v>
      </c>
      <c r="Q35" s="198">
        <f t="shared" si="56"/>
        <v>0</v>
      </c>
      <c r="S35" s="242">
        <v>0</v>
      </c>
      <c r="T35" s="191"/>
      <c r="U35" s="216" t="s">
        <v>434</v>
      </c>
      <c r="V35" s="198">
        <f t="shared" si="57"/>
        <v>0</v>
      </c>
      <c r="W35" s="198">
        <f t="shared" si="57"/>
        <v>0</v>
      </c>
      <c r="X35" s="198">
        <f t="shared" si="57"/>
        <v>0</v>
      </c>
      <c r="Y35" s="198">
        <f t="shared" si="57"/>
        <v>0</v>
      </c>
      <c r="Z35" s="198">
        <f t="shared" si="57"/>
        <v>0</v>
      </c>
      <c r="AB35" s="242">
        <v>0.25</v>
      </c>
      <c r="AC35" s="191"/>
      <c r="AD35" s="216" t="s">
        <v>434</v>
      </c>
      <c r="AE35" s="198">
        <f t="shared" si="58"/>
        <v>0</v>
      </c>
      <c r="AF35" s="198">
        <f t="shared" si="58"/>
        <v>0</v>
      </c>
      <c r="AG35" s="198">
        <f t="shared" si="58"/>
        <v>0</v>
      </c>
      <c r="AH35" s="198">
        <f t="shared" si="58"/>
        <v>0</v>
      </c>
      <c r="AI35" s="198">
        <f t="shared" si="58"/>
        <v>0</v>
      </c>
      <c r="AK35" s="242">
        <v>0</v>
      </c>
      <c r="AL35" s="191"/>
      <c r="AM35" s="216" t="s">
        <v>434</v>
      </c>
      <c r="AN35" s="198">
        <f t="shared" si="54"/>
        <v>0</v>
      </c>
      <c r="AO35" s="198">
        <f t="shared" si="59"/>
        <v>0</v>
      </c>
      <c r="AP35" s="198">
        <f t="shared" si="59"/>
        <v>0</v>
      </c>
      <c r="AQ35" s="198">
        <f t="shared" si="59"/>
        <v>0</v>
      </c>
      <c r="AR35" s="198">
        <f t="shared" si="59"/>
        <v>0</v>
      </c>
    </row>
    <row r="36" spans="1:44" x14ac:dyDescent="0.15">
      <c r="A36" s="233">
        <v>0</v>
      </c>
      <c r="B36" s="191"/>
      <c r="C36" s="216" t="s">
        <v>449</v>
      </c>
      <c r="D36" s="198">
        <f t="shared" si="60"/>
        <v>0</v>
      </c>
      <c r="E36" s="198">
        <f t="shared" si="60"/>
        <v>0</v>
      </c>
      <c r="F36" s="198">
        <f t="shared" si="60"/>
        <v>0</v>
      </c>
      <c r="G36" s="198">
        <f t="shared" si="60"/>
        <v>0</v>
      </c>
      <c r="H36" s="198">
        <f t="shared" si="60"/>
        <v>0</v>
      </c>
      <c r="J36" s="242">
        <v>0</v>
      </c>
      <c r="K36" s="191"/>
      <c r="L36" s="216" t="s">
        <v>449</v>
      </c>
      <c r="M36" s="198">
        <f t="shared" si="56"/>
        <v>0</v>
      </c>
      <c r="N36" s="198">
        <f t="shared" si="56"/>
        <v>0</v>
      </c>
      <c r="O36" s="198">
        <f t="shared" si="56"/>
        <v>0</v>
      </c>
      <c r="P36" s="198">
        <f t="shared" si="56"/>
        <v>0</v>
      </c>
      <c r="Q36" s="198">
        <f t="shared" si="56"/>
        <v>0</v>
      </c>
      <c r="S36" s="242">
        <v>0</v>
      </c>
      <c r="T36" s="191"/>
      <c r="U36" s="216" t="s">
        <v>449</v>
      </c>
      <c r="V36" s="198">
        <f t="shared" si="57"/>
        <v>0</v>
      </c>
      <c r="W36" s="198">
        <f t="shared" si="57"/>
        <v>0</v>
      </c>
      <c r="X36" s="198">
        <f t="shared" si="57"/>
        <v>0</v>
      </c>
      <c r="Y36" s="198">
        <f t="shared" si="57"/>
        <v>0</v>
      </c>
      <c r="Z36" s="198">
        <f t="shared" si="57"/>
        <v>0</v>
      </c>
      <c r="AB36" s="242">
        <v>0.25</v>
      </c>
      <c r="AC36" s="191"/>
      <c r="AD36" s="216" t="s">
        <v>449</v>
      </c>
      <c r="AE36" s="198">
        <f t="shared" si="58"/>
        <v>0</v>
      </c>
      <c r="AF36" s="198">
        <f t="shared" si="58"/>
        <v>0</v>
      </c>
      <c r="AG36" s="198">
        <f t="shared" si="58"/>
        <v>0</v>
      </c>
      <c r="AH36" s="198">
        <f t="shared" si="58"/>
        <v>0</v>
      </c>
      <c r="AI36" s="198">
        <f t="shared" si="58"/>
        <v>0</v>
      </c>
      <c r="AK36" s="242">
        <v>0</v>
      </c>
      <c r="AL36" s="191"/>
      <c r="AM36" s="216" t="s">
        <v>449</v>
      </c>
      <c r="AN36" s="198">
        <f t="shared" si="54"/>
        <v>0</v>
      </c>
      <c r="AO36" s="198">
        <f t="shared" si="59"/>
        <v>0</v>
      </c>
      <c r="AP36" s="198">
        <f t="shared" si="59"/>
        <v>0</v>
      </c>
      <c r="AQ36" s="198">
        <f t="shared" si="59"/>
        <v>0</v>
      </c>
      <c r="AR36" s="198">
        <f t="shared" si="59"/>
        <v>0</v>
      </c>
    </row>
    <row r="37" spans="1:44" x14ac:dyDescent="0.15">
      <c r="B37" s="191"/>
      <c r="C37" s="203"/>
      <c r="D37" s="203"/>
      <c r="E37" s="203"/>
      <c r="F37" s="198"/>
      <c r="G37" s="203"/>
      <c r="H37" s="203"/>
      <c r="J37" s="242"/>
      <c r="K37" s="191"/>
      <c r="L37" s="203"/>
      <c r="M37" s="203"/>
      <c r="N37" s="203"/>
      <c r="O37" s="198"/>
      <c r="P37" s="203"/>
      <c r="Q37" s="203"/>
      <c r="S37" s="242"/>
      <c r="T37" s="191"/>
      <c r="U37" s="203"/>
      <c r="V37" s="203"/>
      <c r="W37" s="203"/>
      <c r="X37" s="198"/>
      <c r="Y37" s="203"/>
      <c r="Z37" s="203"/>
      <c r="AC37" s="191"/>
      <c r="AD37" s="203"/>
      <c r="AE37" s="203"/>
      <c r="AF37" s="203"/>
      <c r="AG37" s="198"/>
      <c r="AH37" s="203"/>
      <c r="AI37" s="203"/>
      <c r="AK37" s="242"/>
      <c r="AL37" s="191"/>
      <c r="AM37" s="203"/>
      <c r="AN37" s="203"/>
      <c r="AO37" s="203"/>
      <c r="AP37" s="198"/>
      <c r="AQ37" s="203"/>
      <c r="AR37" s="203"/>
    </row>
    <row r="38" spans="1:44" x14ac:dyDescent="0.15">
      <c r="B38" s="207" t="s">
        <v>439</v>
      </c>
      <c r="C38" s="207"/>
      <c r="D38" s="208">
        <f>$E$3</f>
        <v>0</v>
      </c>
      <c r="E38" s="208">
        <f>$E$3</f>
        <v>0</v>
      </c>
      <c r="F38" s="208">
        <f t="shared" ref="F38:H38" si="61">$E$3</f>
        <v>0</v>
      </c>
      <c r="G38" s="208">
        <f t="shared" si="61"/>
        <v>0</v>
      </c>
      <c r="H38" s="208">
        <f t="shared" si="61"/>
        <v>0</v>
      </c>
      <c r="J38" s="242"/>
      <c r="K38" s="207" t="s">
        <v>439</v>
      </c>
      <c r="L38" s="207"/>
      <c r="M38" s="208">
        <f>$N$3</f>
        <v>0</v>
      </c>
      <c r="N38" s="208">
        <f t="shared" ref="N38:Q38" si="62">$N$3</f>
        <v>0</v>
      </c>
      <c r="O38" s="208">
        <f t="shared" si="62"/>
        <v>0</v>
      </c>
      <c r="P38" s="208">
        <f t="shared" si="62"/>
        <v>0</v>
      </c>
      <c r="Q38" s="208">
        <f t="shared" si="62"/>
        <v>0</v>
      </c>
      <c r="S38" s="242"/>
      <c r="T38" s="207" t="s">
        <v>439</v>
      </c>
      <c r="U38" s="207"/>
      <c r="V38" s="208">
        <f>$W$3</f>
        <v>0</v>
      </c>
      <c r="W38" s="208">
        <f t="shared" ref="W38:Z38" si="63">$W$3</f>
        <v>0</v>
      </c>
      <c r="X38" s="208">
        <f t="shared" si="63"/>
        <v>0</v>
      </c>
      <c r="Y38" s="208">
        <f t="shared" si="63"/>
        <v>0</v>
      </c>
      <c r="Z38" s="208">
        <f t="shared" si="63"/>
        <v>0</v>
      </c>
      <c r="AC38" s="207" t="s">
        <v>439</v>
      </c>
      <c r="AD38" s="207"/>
      <c r="AE38" s="208">
        <f>$AF$3</f>
        <v>0</v>
      </c>
      <c r="AF38" s="208">
        <f t="shared" ref="AF38:AI38" si="64">$AF$3</f>
        <v>0</v>
      </c>
      <c r="AG38" s="208">
        <f t="shared" si="64"/>
        <v>0</v>
      </c>
      <c r="AH38" s="208">
        <f t="shared" si="64"/>
        <v>0</v>
      </c>
      <c r="AI38" s="208">
        <f t="shared" si="64"/>
        <v>0</v>
      </c>
      <c r="AK38" s="242"/>
      <c r="AL38" s="207" t="s">
        <v>439</v>
      </c>
      <c r="AM38" s="207"/>
      <c r="AN38" s="208">
        <f>$AO$3</f>
        <v>0</v>
      </c>
      <c r="AO38" s="208">
        <f t="shared" ref="AO38:AQ38" si="65">$AO$3</f>
        <v>0</v>
      </c>
      <c r="AP38" s="208">
        <f t="shared" si="65"/>
        <v>0</v>
      </c>
      <c r="AQ38" s="208">
        <f t="shared" si="65"/>
        <v>0</v>
      </c>
      <c r="AR38" s="208">
        <f>$AO$3</f>
        <v>0</v>
      </c>
    </row>
    <row r="39" spans="1:44" s="210" customFormat="1" x14ac:dyDescent="0.15">
      <c r="A39" s="238">
        <v>0.2</v>
      </c>
      <c r="B39" s="209"/>
      <c r="C39" s="199" t="s">
        <v>49</v>
      </c>
      <c r="D39" s="198">
        <f t="shared" ref="D39:D46" si="66">$A39*D$38</f>
        <v>0</v>
      </c>
      <c r="E39" s="198">
        <f t="shared" ref="E39:H39" si="67">$A39*E$38</f>
        <v>0</v>
      </c>
      <c r="F39" s="198">
        <f t="shared" si="67"/>
        <v>0</v>
      </c>
      <c r="G39" s="198">
        <f t="shared" si="67"/>
        <v>0</v>
      </c>
      <c r="H39" s="198">
        <f t="shared" si="67"/>
        <v>0</v>
      </c>
      <c r="J39" s="245">
        <v>0.2</v>
      </c>
      <c r="K39" s="209"/>
      <c r="L39" s="199" t="s">
        <v>49</v>
      </c>
      <c r="M39" s="198">
        <f>$J39*M$38</f>
        <v>0</v>
      </c>
      <c r="N39" s="198">
        <f t="shared" ref="N39:Q39" si="68">$J39*N$38</f>
        <v>0</v>
      </c>
      <c r="O39" s="198">
        <f t="shared" si="68"/>
        <v>0</v>
      </c>
      <c r="P39" s="198">
        <f t="shared" si="68"/>
        <v>0</v>
      </c>
      <c r="Q39" s="198">
        <f t="shared" si="68"/>
        <v>0</v>
      </c>
      <c r="S39" s="245">
        <v>0.2</v>
      </c>
      <c r="T39" s="209"/>
      <c r="U39" s="199" t="s">
        <v>49</v>
      </c>
      <c r="V39" s="198">
        <f>$S39*V$38</f>
        <v>0</v>
      </c>
      <c r="W39" s="198">
        <f t="shared" ref="W39:Z39" si="69">$S39*W$38</f>
        <v>0</v>
      </c>
      <c r="X39" s="198">
        <f t="shared" si="69"/>
        <v>0</v>
      </c>
      <c r="Y39" s="198">
        <f t="shared" si="69"/>
        <v>0</v>
      </c>
      <c r="Z39" s="198">
        <f t="shared" si="69"/>
        <v>0</v>
      </c>
      <c r="AB39" s="245">
        <v>0.2</v>
      </c>
      <c r="AC39" s="209"/>
      <c r="AD39" s="199" t="s">
        <v>49</v>
      </c>
      <c r="AE39" s="198">
        <f>$AB39*AE$38</f>
        <v>0</v>
      </c>
      <c r="AF39" s="198">
        <f t="shared" ref="AF39:AI39" si="70">$AB39*AF$38</f>
        <v>0</v>
      </c>
      <c r="AG39" s="198">
        <f t="shared" si="70"/>
        <v>0</v>
      </c>
      <c r="AH39" s="198">
        <f t="shared" si="70"/>
        <v>0</v>
      </c>
      <c r="AI39" s="198">
        <f t="shared" si="70"/>
        <v>0</v>
      </c>
      <c r="AK39" s="245">
        <v>0.2</v>
      </c>
      <c r="AL39" s="209"/>
      <c r="AM39" s="199" t="s">
        <v>49</v>
      </c>
      <c r="AN39" s="198">
        <f>$AK39*AN$38</f>
        <v>0</v>
      </c>
      <c r="AO39" s="198">
        <f t="shared" ref="AO39:AR39" si="71">$AK39*AO$38</f>
        <v>0</v>
      </c>
      <c r="AP39" s="198">
        <f t="shared" si="71"/>
        <v>0</v>
      </c>
      <c r="AQ39" s="198">
        <f t="shared" si="71"/>
        <v>0</v>
      </c>
      <c r="AR39" s="198">
        <f t="shared" si="71"/>
        <v>0</v>
      </c>
    </row>
    <row r="40" spans="1:44" s="210" customFormat="1" x14ac:dyDescent="0.15">
      <c r="A40" s="238">
        <v>0.2</v>
      </c>
      <c r="B40" s="209"/>
      <c r="C40" s="199" t="s">
        <v>51</v>
      </c>
      <c r="D40" s="198">
        <f t="shared" si="66"/>
        <v>0</v>
      </c>
      <c r="E40" s="198">
        <f t="shared" ref="E40:H46" si="72">$A40*E$38</f>
        <v>0</v>
      </c>
      <c r="F40" s="198">
        <f t="shared" si="72"/>
        <v>0</v>
      </c>
      <c r="G40" s="198">
        <f t="shared" si="72"/>
        <v>0</v>
      </c>
      <c r="H40" s="198">
        <f t="shared" si="72"/>
        <v>0</v>
      </c>
      <c r="J40" s="245">
        <v>0.2</v>
      </c>
      <c r="K40" s="209"/>
      <c r="L40" s="199" t="s">
        <v>51</v>
      </c>
      <c r="M40" s="198">
        <f t="shared" ref="M40:Q46" si="73">$J40*M$38</f>
        <v>0</v>
      </c>
      <c r="N40" s="198">
        <f t="shared" si="73"/>
        <v>0</v>
      </c>
      <c r="O40" s="198">
        <f t="shared" si="73"/>
        <v>0</v>
      </c>
      <c r="P40" s="198">
        <f t="shared" si="73"/>
        <v>0</v>
      </c>
      <c r="Q40" s="198">
        <f t="shared" si="73"/>
        <v>0</v>
      </c>
      <c r="S40" s="245">
        <v>0.2</v>
      </c>
      <c r="T40" s="209"/>
      <c r="U40" s="199" t="s">
        <v>51</v>
      </c>
      <c r="V40" s="198">
        <f t="shared" ref="V40:Z46" si="74">$S40*V$38</f>
        <v>0</v>
      </c>
      <c r="W40" s="198">
        <f t="shared" si="74"/>
        <v>0</v>
      </c>
      <c r="X40" s="198">
        <f t="shared" si="74"/>
        <v>0</v>
      </c>
      <c r="Y40" s="198">
        <f t="shared" si="74"/>
        <v>0</v>
      </c>
      <c r="Z40" s="198">
        <f t="shared" si="74"/>
        <v>0</v>
      </c>
      <c r="AB40" s="245">
        <v>0.2</v>
      </c>
      <c r="AC40" s="209"/>
      <c r="AD40" s="199" t="s">
        <v>51</v>
      </c>
      <c r="AE40" s="198">
        <f t="shared" ref="AE40:AI46" si="75">$AB40*AE$38</f>
        <v>0</v>
      </c>
      <c r="AF40" s="198">
        <f t="shared" si="75"/>
        <v>0</v>
      </c>
      <c r="AG40" s="198">
        <f t="shared" si="75"/>
        <v>0</v>
      </c>
      <c r="AH40" s="198">
        <f t="shared" si="75"/>
        <v>0</v>
      </c>
      <c r="AI40" s="198">
        <f t="shared" si="75"/>
        <v>0</v>
      </c>
      <c r="AK40" s="245">
        <v>0.2</v>
      </c>
      <c r="AL40" s="209"/>
      <c r="AM40" s="199" t="s">
        <v>51</v>
      </c>
      <c r="AN40" s="198">
        <f t="shared" ref="AN40:AR46" si="76">$AK40*AN$38</f>
        <v>0</v>
      </c>
      <c r="AO40" s="198">
        <f t="shared" si="76"/>
        <v>0</v>
      </c>
      <c r="AP40" s="198">
        <f t="shared" si="76"/>
        <v>0</v>
      </c>
      <c r="AQ40" s="198">
        <f t="shared" si="76"/>
        <v>0</v>
      </c>
      <c r="AR40" s="198">
        <f t="shared" si="76"/>
        <v>0</v>
      </c>
    </row>
    <row r="41" spans="1:44" s="210" customFormat="1" x14ac:dyDescent="0.15">
      <c r="A41" s="238">
        <v>0.2</v>
      </c>
      <c r="B41" s="209"/>
      <c r="C41" s="199" t="s">
        <v>54</v>
      </c>
      <c r="D41" s="198">
        <f t="shared" si="66"/>
        <v>0</v>
      </c>
      <c r="E41" s="198">
        <f t="shared" si="72"/>
        <v>0</v>
      </c>
      <c r="F41" s="198">
        <f t="shared" si="72"/>
        <v>0</v>
      </c>
      <c r="G41" s="198">
        <f t="shared" si="72"/>
        <v>0</v>
      </c>
      <c r="H41" s="198">
        <f t="shared" si="72"/>
        <v>0</v>
      </c>
      <c r="J41" s="245">
        <v>0.2</v>
      </c>
      <c r="K41" s="209"/>
      <c r="L41" s="199" t="s">
        <v>54</v>
      </c>
      <c r="M41" s="198">
        <f t="shared" si="73"/>
        <v>0</v>
      </c>
      <c r="N41" s="198">
        <f t="shared" si="73"/>
        <v>0</v>
      </c>
      <c r="O41" s="198">
        <f t="shared" si="73"/>
        <v>0</v>
      </c>
      <c r="P41" s="198">
        <f t="shared" si="73"/>
        <v>0</v>
      </c>
      <c r="Q41" s="198">
        <f t="shared" si="73"/>
        <v>0</v>
      </c>
      <c r="S41" s="245">
        <v>0.2</v>
      </c>
      <c r="T41" s="209"/>
      <c r="U41" s="199" t="s">
        <v>54</v>
      </c>
      <c r="V41" s="198">
        <f t="shared" si="74"/>
        <v>0</v>
      </c>
      <c r="W41" s="198">
        <f t="shared" si="74"/>
        <v>0</v>
      </c>
      <c r="X41" s="198">
        <f t="shared" si="74"/>
        <v>0</v>
      </c>
      <c r="Y41" s="198">
        <f t="shared" si="74"/>
        <v>0</v>
      </c>
      <c r="Z41" s="198">
        <f t="shared" si="74"/>
        <v>0</v>
      </c>
      <c r="AB41" s="245">
        <v>0.2</v>
      </c>
      <c r="AC41" s="209"/>
      <c r="AD41" s="199" t="s">
        <v>54</v>
      </c>
      <c r="AE41" s="198">
        <f t="shared" si="75"/>
        <v>0</v>
      </c>
      <c r="AF41" s="198">
        <f t="shared" si="75"/>
        <v>0</v>
      </c>
      <c r="AG41" s="198">
        <f t="shared" si="75"/>
        <v>0</v>
      </c>
      <c r="AH41" s="198">
        <f t="shared" si="75"/>
        <v>0</v>
      </c>
      <c r="AI41" s="198">
        <f t="shared" si="75"/>
        <v>0</v>
      </c>
      <c r="AK41" s="245">
        <v>0.2</v>
      </c>
      <c r="AL41" s="209"/>
      <c r="AM41" s="199" t="s">
        <v>54</v>
      </c>
      <c r="AN41" s="198">
        <f t="shared" si="76"/>
        <v>0</v>
      </c>
      <c r="AO41" s="198">
        <f t="shared" si="76"/>
        <v>0</v>
      </c>
      <c r="AP41" s="198">
        <f t="shared" si="76"/>
        <v>0</v>
      </c>
      <c r="AQ41" s="198">
        <f t="shared" si="76"/>
        <v>0</v>
      </c>
      <c r="AR41" s="198">
        <f t="shared" si="76"/>
        <v>0</v>
      </c>
    </row>
    <row r="42" spans="1:44" x14ac:dyDescent="0.15">
      <c r="A42" s="238">
        <v>0.2</v>
      </c>
      <c r="B42" s="191"/>
      <c r="C42" s="199" t="s">
        <v>95</v>
      </c>
      <c r="D42" s="198">
        <f t="shared" si="66"/>
        <v>0</v>
      </c>
      <c r="E42" s="198">
        <f t="shared" si="72"/>
        <v>0</v>
      </c>
      <c r="F42" s="198">
        <f t="shared" si="72"/>
        <v>0</v>
      </c>
      <c r="G42" s="198">
        <f t="shared" si="72"/>
        <v>0</v>
      </c>
      <c r="H42" s="198">
        <f t="shared" si="72"/>
        <v>0</v>
      </c>
      <c r="J42" s="245">
        <v>0.2</v>
      </c>
      <c r="K42" s="191"/>
      <c r="L42" s="199" t="s">
        <v>95</v>
      </c>
      <c r="M42" s="198">
        <f t="shared" si="73"/>
        <v>0</v>
      </c>
      <c r="N42" s="198">
        <f t="shared" si="73"/>
        <v>0</v>
      </c>
      <c r="O42" s="198">
        <f t="shared" si="73"/>
        <v>0</v>
      </c>
      <c r="P42" s="198">
        <f t="shared" si="73"/>
        <v>0</v>
      </c>
      <c r="Q42" s="198">
        <f t="shared" si="73"/>
        <v>0</v>
      </c>
      <c r="S42" s="245">
        <v>0.2</v>
      </c>
      <c r="T42" s="191"/>
      <c r="U42" s="199" t="s">
        <v>95</v>
      </c>
      <c r="V42" s="198">
        <f t="shared" si="74"/>
        <v>0</v>
      </c>
      <c r="W42" s="198">
        <f t="shared" si="74"/>
        <v>0</v>
      </c>
      <c r="X42" s="198">
        <f t="shared" si="74"/>
        <v>0</v>
      </c>
      <c r="Y42" s="198">
        <f t="shared" si="74"/>
        <v>0</v>
      </c>
      <c r="Z42" s="198">
        <f t="shared" si="74"/>
        <v>0</v>
      </c>
      <c r="AB42" s="245">
        <v>0.2</v>
      </c>
      <c r="AC42" s="191"/>
      <c r="AD42" s="199" t="s">
        <v>95</v>
      </c>
      <c r="AE42" s="198">
        <f t="shared" si="75"/>
        <v>0</v>
      </c>
      <c r="AF42" s="198">
        <f t="shared" si="75"/>
        <v>0</v>
      </c>
      <c r="AG42" s="198">
        <f t="shared" si="75"/>
        <v>0</v>
      </c>
      <c r="AH42" s="198">
        <f t="shared" si="75"/>
        <v>0</v>
      </c>
      <c r="AI42" s="198">
        <f t="shared" si="75"/>
        <v>0</v>
      </c>
      <c r="AK42" s="245">
        <v>0.2</v>
      </c>
      <c r="AL42" s="191"/>
      <c r="AM42" s="199" t="s">
        <v>95</v>
      </c>
      <c r="AN42" s="198">
        <f t="shared" si="76"/>
        <v>0</v>
      </c>
      <c r="AO42" s="198">
        <f t="shared" si="76"/>
        <v>0</v>
      </c>
      <c r="AP42" s="198">
        <f t="shared" si="76"/>
        <v>0</v>
      </c>
      <c r="AQ42" s="198">
        <f t="shared" si="76"/>
        <v>0</v>
      </c>
      <c r="AR42" s="198">
        <f t="shared" si="76"/>
        <v>0</v>
      </c>
    </row>
    <row r="43" spans="1:44" x14ac:dyDescent="0.15">
      <c r="A43" s="238">
        <v>0.2</v>
      </c>
      <c r="B43" s="191"/>
      <c r="C43" s="199" t="s">
        <v>57</v>
      </c>
      <c r="D43" s="198">
        <f t="shared" si="66"/>
        <v>0</v>
      </c>
      <c r="E43" s="198">
        <f t="shared" si="72"/>
        <v>0</v>
      </c>
      <c r="F43" s="198">
        <f t="shared" si="72"/>
        <v>0</v>
      </c>
      <c r="G43" s="198">
        <f t="shared" si="72"/>
        <v>0</v>
      </c>
      <c r="H43" s="198">
        <f t="shared" si="72"/>
        <v>0</v>
      </c>
      <c r="J43" s="245">
        <v>0.2</v>
      </c>
      <c r="K43" s="191"/>
      <c r="L43" s="199" t="s">
        <v>57</v>
      </c>
      <c r="M43" s="198">
        <f t="shared" si="73"/>
        <v>0</v>
      </c>
      <c r="N43" s="198">
        <f t="shared" si="73"/>
        <v>0</v>
      </c>
      <c r="O43" s="198">
        <f t="shared" si="73"/>
        <v>0</v>
      </c>
      <c r="P43" s="198">
        <f t="shared" si="73"/>
        <v>0</v>
      </c>
      <c r="Q43" s="198">
        <f t="shared" si="73"/>
        <v>0</v>
      </c>
      <c r="S43" s="245">
        <v>0.2</v>
      </c>
      <c r="T43" s="191"/>
      <c r="U43" s="199" t="s">
        <v>57</v>
      </c>
      <c r="V43" s="198">
        <f t="shared" si="74"/>
        <v>0</v>
      </c>
      <c r="W43" s="198">
        <f t="shared" si="74"/>
        <v>0</v>
      </c>
      <c r="X43" s="198">
        <f t="shared" si="74"/>
        <v>0</v>
      </c>
      <c r="Y43" s="198">
        <f t="shared" si="74"/>
        <v>0</v>
      </c>
      <c r="Z43" s="198">
        <f t="shared" si="74"/>
        <v>0</v>
      </c>
      <c r="AB43" s="245">
        <v>0.2</v>
      </c>
      <c r="AC43" s="191"/>
      <c r="AD43" s="199" t="s">
        <v>57</v>
      </c>
      <c r="AE43" s="198">
        <f t="shared" si="75"/>
        <v>0</v>
      </c>
      <c r="AF43" s="198">
        <f t="shared" si="75"/>
        <v>0</v>
      </c>
      <c r="AG43" s="198">
        <f t="shared" si="75"/>
        <v>0</v>
      </c>
      <c r="AH43" s="198">
        <f t="shared" si="75"/>
        <v>0</v>
      </c>
      <c r="AI43" s="198">
        <f t="shared" si="75"/>
        <v>0</v>
      </c>
      <c r="AK43" s="245">
        <v>0.2</v>
      </c>
      <c r="AL43" s="191"/>
      <c r="AM43" s="199" t="s">
        <v>57</v>
      </c>
      <c r="AN43" s="198">
        <f t="shared" si="76"/>
        <v>0</v>
      </c>
      <c r="AO43" s="198">
        <f t="shared" si="76"/>
        <v>0</v>
      </c>
      <c r="AP43" s="198">
        <f t="shared" si="76"/>
        <v>0</v>
      </c>
      <c r="AQ43" s="198">
        <f t="shared" si="76"/>
        <v>0</v>
      </c>
      <c r="AR43" s="198">
        <f t="shared" si="76"/>
        <v>0</v>
      </c>
    </row>
    <row r="44" spans="1:44" x14ac:dyDescent="0.15">
      <c r="A44" s="238">
        <v>0</v>
      </c>
      <c r="B44" s="191"/>
      <c r="C44" s="199" t="s">
        <v>450</v>
      </c>
      <c r="D44" s="198">
        <f t="shared" si="66"/>
        <v>0</v>
      </c>
      <c r="E44" s="198">
        <f t="shared" si="72"/>
        <v>0</v>
      </c>
      <c r="F44" s="198">
        <f t="shared" si="72"/>
        <v>0</v>
      </c>
      <c r="G44" s="198">
        <f t="shared" si="72"/>
        <v>0</v>
      </c>
      <c r="H44" s="198">
        <f t="shared" si="72"/>
        <v>0</v>
      </c>
      <c r="J44" s="245">
        <v>0</v>
      </c>
      <c r="K44" s="191"/>
      <c r="L44" s="199" t="s">
        <v>450</v>
      </c>
      <c r="M44" s="198">
        <f t="shared" si="73"/>
        <v>0</v>
      </c>
      <c r="N44" s="198">
        <f t="shared" si="73"/>
        <v>0</v>
      </c>
      <c r="O44" s="198">
        <f t="shared" si="73"/>
        <v>0</v>
      </c>
      <c r="P44" s="198">
        <f t="shared" si="73"/>
        <v>0</v>
      </c>
      <c r="Q44" s="198">
        <f t="shared" si="73"/>
        <v>0</v>
      </c>
      <c r="S44" s="245">
        <v>0</v>
      </c>
      <c r="T44" s="191"/>
      <c r="U44" s="199" t="s">
        <v>450</v>
      </c>
      <c r="V44" s="198">
        <f t="shared" si="74"/>
        <v>0</v>
      </c>
      <c r="W44" s="198">
        <f t="shared" si="74"/>
        <v>0</v>
      </c>
      <c r="X44" s="198">
        <f t="shared" si="74"/>
        <v>0</v>
      </c>
      <c r="Y44" s="198">
        <f t="shared" si="74"/>
        <v>0</v>
      </c>
      <c r="Z44" s="198">
        <f t="shared" si="74"/>
        <v>0</v>
      </c>
      <c r="AB44" s="245">
        <v>0</v>
      </c>
      <c r="AC44" s="191"/>
      <c r="AD44" s="199" t="s">
        <v>450</v>
      </c>
      <c r="AE44" s="198">
        <f t="shared" si="75"/>
        <v>0</v>
      </c>
      <c r="AF44" s="198">
        <f t="shared" si="75"/>
        <v>0</v>
      </c>
      <c r="AG44" s="198">
        <f t="shared" si="75"/>
        <v>0</v>
      </c>
      <c r="AH44" s="198">
        <f t="shared" si="75"/>
        <v>0</v>
      </c>
      <c r="AI44" s="198">
        <f t="shared" si="75"/>
        <v>0</v>
      </c>
      <c r="AK44" s="245">
        <v>0</v>
      </c>
      <c r="AL44" s="191"/>
      <c r="AM44" s="199" t="s">
        <v>450</v>
      </c>
      <c r="AN44" s="198">
        <f t="shared" si="76"/>
        <v>0</v>
      </c>
      <c r="AO44" s="198">
        <f t="shared" si="76"/>
        <v>0</v>
      </c>
      <c r="AP44" s="198">
        <f t="shared" si="76"/>
        <v>0</v>
      </c>
      <c r="AQ44" s="198">
        <f t="shared" si="76"/>
        <v>0</v>
      </c>
      <c r="AR44" s="198">
        <f t="shared" si="76"/>
        <v>0</v>
      </c>
    </row>
    <row r="45" spans="1:44" x14ac:dyDescent="0.15">
      <c r="A45" s="238">
        <v>0</v>
      </c>
      <c r="B45" s="191"/>
      <c r="C45" s="199" t="s">
        <v>450</v>
      </c>
      <c r="D45" s="198">
        <f t="shared" si="66"/>
        <v>0</v>
      </c>
      <c r="E45" s="198">
        <f t="shared" si="72"/>
        <v>0</v>
      </c>
      <c r="F45" s="198">
        <f t="shared" si="72"/>
        <v>0</v>
      </c>
      <c r="G45" s="198">
        <f t="shared" si="72"/>
        <v>0</v>
      </c>
      <c r="H45" s="198">
        <f t="shared" si="72"/>
        <v>0</v>
      </c>
      <c r="J45" s="245">
        <v>0</v>
      </c>
      <c r="K45" s="191"/>
      <c r="L45" s="199" t="s">
        <v>450</v>
      </c>
      <c r="M45" s="198">
        <f t="shared" si="73"/>
        <v>0</v>
      </c>
      <c r="N45" s="198">
        <f t="shared" si="73"/>
        <v>0</v>
      </c>
      <c r="O45" s="198">
        <f t="shared" si="73"/>
        <v>0</v>
      </c>
      <c r="P45" s="198">
        <f t="shared" si="73"/>
        <v>0</v>
      </c>
      <c r="Q45" s="198">
        <f t="shared" si="73"/>
        <v>0</v>
      </c>
      <c r="S45" s="245">
        <v>0</v>
      </c>
      <c r="T45" s="191"/>
      <c r="U45" s="199" t="s">
        <v>450</v>
      </c>
      <c r="V45" s="198">
        <f t="shared" si="74"/>
        <v>0</v>
      </c>
      <c r="W45" s="198">
        <f t="shared" si="74"/>
        <v>0</v>
      </c>
      <c r="X45" s="198">
        <f t="shared" si="74"/>
        <v>0</v>
      </c>
      <c r="Y45" s="198">
        <f t="shared" si="74"/>
        <v>0</v>
      </c>
      <c r="Z45" s="198">
        <f t="shared" si="74"/>
        <v>0</v>
      </c>
      <c r="AB45" s="245">
        <v>0</v>
      </c>
      <c r="AC45" s="191"/>
      <c r="AD45" s="199" t="s">
        <v>450</v>
      </c>
      <c r="AE45" s="198">
        <f t="shared" si="75"/>
        <v>0</v>
      </c>
      <c r="AF45" s="198">
        <f t="shared" si="75"/>
        <v>0</v>
      </c>
      <c r="AG45" s="198">
        <f t="shared" si="75"/>
        <v>0</v>
      </c>
      <c r="AH45" s="198">
        <f t="shared" si="75"/>
        <v>0</v>
      </c>
      <c r="AI45" s="198">
        <f t="shared" si="75"/>
        <v>0</v>
      </c>
      <c r="AK45" s="245">
        <v>0</v>
      </c>
      <c r="AL45" s="191"/>
      <c r="AM45" s="199" t="s">
        <v>450</v>
      </c>
      <c r="AN45" s="198">
        <f t="shared" si="76"/>
        <v>0</v>
      </c>
      <c r="AO45" s="198">
        <f t="shared" si="76"/>
        <v>0</v>
      </c>
      <c r="AP45" s="198">
        <f t="shared" si="76"/>
        <v>0</v>
      </c>
      <c r="AQ45" s="198">
        <f t="shared" si="76"/>
        <v>0</v>
      </c>
      <c r="AR45" s="198">
        <f t="shared" si="76"/>
        <v>0</v>
      </c>
    </row>
    <row r="46" spans="1:44" x14ac:dyDescent="0.15">
      <c r="A46" s="238">
        <v>0</v>
      </c>
      <c r="B46" s="191"/>
      <c r="C46" s="199" t="s">
        <v>450</v>
      </c>
      <c r="D46" s="198">
        <f t="shared" si="66"/>
        <v>0</v>
      </c>
      <c r="E46" s="198">
        <f t="shared" si="72"/>
        <v>0</v>
      </c>
      <c r="F46" s="198">
        <f t="shared" si="72"/>
        <v>0</v>
      </c>
      <c r="G46" s="198">
        <f t="shared" si="72"/>
        <v>0</v>
      </c>
      <c r="H46" s="198">
        <f t="shared" si="72"/>
        <v>0</v>
      </c>
      <c r="J46" s="245">
        <v>0</v>
      </c>
      <c r="K46" s="191"/>
      <c r="L46" s="199" t="s">
        <v>450</v>
      </c>
      <c r="M46" s="198">
        <f t="shared" si="73"/>
        <v>0</v>
      </c>
      <c r="N46" s="198">
        <f t="shared" si="73"/>
        <v>0</v>
      </c>
      <c r="O46" s="198">
        <f t="shared" si="73"/>
        <v>0</v>
      </c>
      <c r="P46" s="198">
        <f t="shared" si="73"/>
        <v>0</v>
      </c>
      <c r="Q46" s="198">
        <f t="shared" si="73"/>
        <v>0</v>
      </c>
      <c r="S46" s="245">
        <v>0</v>
      </c>
      <c r="T46" s="191"/>
      <c r="U46" s="199" t="s">
        <v>450</v>
      </c>
      <c r="V46" s="198">
        <f t="shared" si="74"/>
        <v>0</v>
      </c>
      <c r="W46" s="198">
        <f t="shared" si="74"/>
        <v>0</v>
      </c>
      <c r="X46" s="198">
        <f t="shared" si="74"/>
        <v>0</v>
      </c>
      <c r="Y46" s="198">
        <f t="shared" si="74"/>
        <v>0</v>
      </c>
      <c r="Z46" s="198">
        <f t="shared" si="74"/>
        <v>0</v>
      </c>
      <c r="AB46" s="245">
        <v>0</v>
      </c>
      <c r="AC46" s="191"/>
      <c r="AD46" s="199" t="s">
        <v>450</v>
      </c>
      <c r="AE46" s="198">
        <f t="shared" si="75"/>
        <v>0</v>
      </c>
      <c r="AF46" s="198">
        <f t="shared" si="75"/>
        <v>0</v>
      </c>
      <c r="AG46" s="198">
        <f t="shared" si="75"/>
        <v>0</v>
      </c>
      <c r="AH46" s="198">
        <f t="shared" si="75"/>
        <v>0</v>
      </c>
      <c r="AI46" s="198">
        <f t="shared" si="75"/>
        <v>0</v>
      </c>
      <c r="AK46" s="245">
        <v>0</v>
      </c>
      <c r="AL46" s="191"/>
      <c r="AM46" s="199" t="s">
        <v>450</v>
      </c>
      <c r="AN46" s="198">
        <f t="shared" si="76"/>
        <v>0</v>
      </c>
      <c r="AO46" s="198">
        <f t="shared" si="76"/>
        <v>0</v>
      </c>
      <c r="AP46" s="198">
        <f t="shared" si="76"/>
        <v>0</v>
      </c>
      <c r="AQ46" s="198">
        <f t="shared" si="76"/>
        <v>0</v>
      </c>
      <c r="AR46" s="198">
        <f t="shared" si="76"/>
        <v>0</v>
      </c>
    </row>
    <row r="47" spans="1:44" x14ac:dyDescent="0.15">
      <c r="B47" s="191"/>
      <c r="C47" s="203"/>
      <c r="D47" s="203"/>
      <c r="E47" s="203"/>
      <c r="F47" s="198"/>
      <c r="G47" s="203"/>
      <c r="H47" s="203"/>
      <c r="J47" s="242"/>
      <c r="K47" s="191"/>
      <c r="L47" s="203"/>
      <c r="M47" s="203"/>
      <c r="N47" s="203"/>
      <c r="O47" s="198"/>
      <c r="P47" s="203"/>
      <c r="Q47" s="203"/>
      <c r="S47" s="242"/>
      <c r="T47" s="191"/>
      <c r="U47" s="203"/>
      <c r="V47" s="203"/>
      <c r="W47" s="203"/>
      <c r="X47" s="198"/>
      <c r="Y47" s="203"/>
      <c r="Z47" s="203"/>
      <c r="AC47" s="191"/>
      <c r="AD47" s="203"/>
      <c r="AE47" s="203"/>
      <c r="AF47" s="203"/>
      <c r="AG47" s="198"/>
      <c r="AH47" s="203"/>
      <c r="AI47" s="203"/>
      <c r="AK47" s="242"/>
      <c r="AL47" s="191"/>
      <c r="AM47" s="203"/>
      <c r="AN47" s="203"/>
      <c r="AO47" s="203"/>
      <c r="AP47" s="198"/>
      <c r="AQ47" s="203"/>
      <c r="AR47" s="203"/>
    </row>
    <row r="48" spans="1:44" x14ac:dyDescent="0.15">
      <c r="B48" s="211" t="s">
        <v>440</v>
      </c>
      <c r="C48" s="211"/>
      <c r="D48" s="212">
        <f>$H$3</f>
        <v>0</v>
      </c>
      <c r="E48" s="212">
        <f t="shared" ref="E48:H48" si="77">$H$3</f>
        <v>0</v>
      </c>
      <c r="F48" s="212">
        <f t="shared" si="77"/>
        <v>0</v>
      </c>
      <c r="G48" s="212">
        <f t="shared" si="77"/>
        <v>0</v>
      </c>
      <c r="H48" s="212">
        <f t="shared" si="77"/>
        <v>0</v>
      </c>
      <c r="J48" s="242"/>
      <c r="K48" s="211" t="s">
        <v>440</v>
      </c>
      <c r="L48" s="211"/>
      <c r="M48" s="212">
        <f>$Q$3</f>
        <v>0</v>
      </c>
      <c r="N48" s="212">
        <f t="shared" ref="N48:Q48" si="78">$Q$3</f>
        <v>0</v>
      </c>
      <c r="O48" s="212">
        <f t="shared" si="78"/>
        <v>0</v>
      </c>
      <c r="P48" s="212">
        <f t="shared" si="78"/>
        <v>0</v>
      </c>
      <c r="Q48" s="212">
        <f t="shared" si="78"/>
        <v>0</v>
      </c>
      <c r="S48" s="242"/>
      <c r="T48" s="211" t="s">
        <v>440</v>
      </c>
      <c r="U48" s="211"/>
      <c r="V48" s="212">
        <f>$Z$3</f>
        <v>0</v>
      </c>
      <c r="W48" s="212">
        <f t="shared" ref="W48:Z48" si="79">$Z$3</f>
        <v>0</v>
      </c>
      <c r="X48" s="212">
        <f t="shared" si="79"/>
        <v>0</v>
      </c>
      <c r="Y48" s="212">
        <f t="shared" si="79"/>
        <v>0</v>
      </c>
      <c r="Z48" s="212">
        <f t="shared" si="79"/>
        <v>0</v>
      </c>
      <c r="AC48" s="211" t="s">
        <v>440</v>
      </c>
      <c r="AD48" s="211"/>
      <c r="AE48" s="212">
        <f>$AI$3</f>
        <v>0</v>
      </c>
      <c r="AF48" s="212">
        <f t="shared" ref="AF48:AI48" si="80">$AI$3</f>
        <v>0</v>
      </c>
      <c r="AG48" s="212">
        <f t="shared" si="80"/>
        <v>0</v>
      </c>
      <c r="AH48" s="212">
        <f t="shared" si="80"/>
        <v>0</v>
      </c>
      <c r="AI48" s="212">
        <f t="shared" si="80"/>
        <v>0</v>
      </c>
      <c r="AK48" s="242"/>
      <c r="AL48" s="211" t="s">
        <v>440</v>
      </c>
      <c r="AM48" s="211"/>
      <c r="AN48" s="212">
        <f>$AR$3</f>
        <v>0</v>
      </c>
      <c r="AO48" s="212">
        <f t="shared" ref="AO48:AR48" si="81">$AR$3</f>
        <v>0</v>
      </c>
      <c r="AP48" s="212">
        <f t="shared" si="81"/>
        <v>0</v>
      </c>
      <c r="AQ48" s="212">
        <f t="shared" si="81"/>
        <v>0</v>
      </c>
      <c r="AR48" s="212">
        <f t="shared" si="81"/>
        <v>0</v>
      </c>
    </row>
    <row r="49" spans="1:44" x14ac:dyDescent="0.15">
      <c r="A49" s="233">
        <v>0.5</v>
      </c>
      <c r="C49" s="187" t="s">
        <v>431</v>
      </c>
      <c r="D49" s="198">
        <f t="shared" ref="D49:H50" si="82">$A49*D$48</f>
        <v>0</v>
      </c>
      <c r="E49" s="198">
        <f t="shared" si="82"/>
        <v>0</v>
      </c>
      <c r="F49" s="198">
        <f t="shared" si="82"/>
        <v>0</v>
      </c>
      <c r="G49" s="198">
        <f t="shared" si="82"/>
        <v>0</v>
      </c>
      <c r="H49" s="198">
        <f t="shared" si="82"/>
        <v>0</v>
      </c>
      <c r="I49" s="198"/>
      <c r="J49" s="242">
        <v>0.5</v>
      </c>
      <c r="L49" s="187" t="s">
        <v>431</v>
      </c>
      <c r="M49" s="198">
        <f>$J49*M$48</f>
        <v>0</v>
      </c>
      <c r="N49" s="198">
        <f t="shared" ref="N49:Q54" si="83">$J49*N$48</f>
        <v>0</v>
      </c>
      <c r="O49" s="198">
        <f t="shared" si="83"/>
        <v>0</v>
      </c>
      <c r="P49" s="198">
        <f t="shared" si="83"/>
        <v>0</v>
      </c>
      <c r="Q49" s="198">
        <f t="shared" si="83"/>
        <v>0</v>
      </c>
      <c r="S49" s="242">
        <v>0.5</v>
      </c>
      <c r="U49" s="187" t="s">
        <v>431</v>
      </c>
      <c r="V49" s="198">
        <f>$S49*V$48</f>
        <v>0</v>
      </c>
      <c r="W49" s="198">
        <f t="shared" ref="W49:Z49" si="84">$S49*W$48</f>
        <v>0</v>
      </c>
      <c r="X49" s="198">
        <f t="shared" si="84"/>
        <v>0</v>
      </c>
      <c r="Y49" s="198">
        <f t="shared" si="84"/>
        <v>0</v>
      </c>
      <c r="Z49" s="198">
        <f t="shared" si="84"/>
        <v>0</v>
      </c>
      <c r="AB49" s="242">
        <v>0.5</v>
      </c>
      <c r="AD49" s="187" t="s">
        <v>431</v>
      </c>
      <c r="AE49" s="198">
        <f>$AB49*AE$48</f>
        <v>0</v>
      </c>
      <c r="AF49" s="198">
        <f t="shared" ref="AF49:AI49" si="85">$AB49*AF$48</f>
        <v>0</v>
      </c>
      <c r="AG49" s="198">
        <f t="shared" si="85"/>
        <v>0</v>
      </c>
      <c r="AH49" s="198">
        <f t="shared" si="85"/>
        <v>0</v>
      </c>
      <c r="AI49" s="198">
        <f t="shared" si="85"/>
        <v>0</v>
      </c>
      <c r="AK49" s="242">
        <v>0</v>
      </c>
      <c r="AM49" s="187" t="s">
        <v>431</v>
      </c>
      <c r="AN49" s="198">
        <f t="shared" ref="AN49:AN54" si="86">$AK49*AN$48</f>
        <v>0</v>
      </c>
      <c r="AO49" s="198">
        <f t="shared" ref="AO49:AR49" si="87">$AK49*AO$48</f>
        <v>0</v>
      </c>
      <c r="AP49" s="198">
        <f t="shared" si="87"/>
        <v>0</v>
      </c>
      <c r="AQ49" s="198">
        <f t="shared" si="87"/>
        <v>0</v>
      </c>
      <c r="AR49" s="198">
        <f t="shared" si="87"/>
        <v>0</v>
      </c>
    </row>
    <row r="50" spans="1:44" x14ac:dyDescent="0.15">
      <c r="A50" s="233">
        <v>0.5</v>
      </c>
      <c r="C50" s="187" t="s">
        <v>433</v>
      </c>
      <c r="D50" s="198">
        <f t="shared" si="82"/>
        <v>0</v>
      </c>
      <c r="E50" s="198">
        <f t="shared" si="82"/>
        <v>0</v>
      </c>
      <c r="F50" s="198">
        <f t="shared" si="82"/>
        <v>0</v>
      </c>
      <c r="G50" s="198">
        <f t="shared" si="82"/>
        <v>0</v>
      </c>
      <c r="H50" s="198">
        <f t="shared" si="82"/>
        <v>0</v>
      </c>
      <c r="I50" s="198"/>
      <c r="J50" s="242">
        <v>0.5</v>
      </c>
      <c r="L50" s="187" t="s">
        <v>433</v>
      </c>
      <c r="M50" s="198">
        <f>$J50*M$48</f>
        <v>0</v>
      </c>
      <c r="N50" s="198">
        <f t="shared" si="83"/>
        <v>0</v>
      </c>
      <c r="O50" s="198">
        <f t="shared" si="83"/>
        <v>0</v>
      </c>
      <c r="P50" s="198">
        <f t="shared" si="83"/>
        <v>0</v>
      </c>
      <c r="Q50" s="198">
        <f t="shared" si="83"/>
        <v>0</v>
      </c>
      <c r="S50" s="242">
        <v>0.5</v>
      </c>
      <c r="U50" s="187" t="s">
        <v>433</v>
      </c>
      <c r="V50" s="198">
        <f t="shared" ref="V50:Z54" si="88">$S50*V$48</f>
        <v>0</v>
      </c>
      <c r="W50" s="198">
        <f t="shared" si="88"/>
        <v>0</v>
      </c>
      <c r="X50" s="198">
        <f t="shared" si="88"/>
        <v>0</v>
      </c>
      <c r="Y50" s="198">
        <f t="shared" si="88"/>
        <v>0</v>
      </c>
      <c r="Z50" s="198">
        <f t="shared" si="88"/>
        <v>0</v>
      </c>
      <c r="AB50" s="242">
        <v>0.5</v>
      </c>
      <c r="AD50" s="187" t="s">
        <v>433</v>
      </c>
      <c r="AE50" s="198">
        <f t="shared" ref="AE50:AI54" si="89">$AB50*AE$48</f>
        <v>0</v>
      </c>
      <c r="AF50" s="198">
        <f t="shared" si="89"/>
        <v>0</v>
      </c>
      <c r="AG50" s="198">
        <f t="shared" si="89"/>
        <v>0</v>
      </c>
      <c r="AH50" s="198">
        <f t="shared" si="89"/>
        <v>0</v>
      </c>
      <c r="AI50" s="198">
        <f t="shared" si="89"/>
        <v>0</v>
      </c>
      <c r="AK50" s="242">
        <v>0</v>
      </c>
      <c r="AM50" s="187" t="s">
        <v>433</v>
      </c>
      <c r="AN50" s="198">
        <f t="shared" si="86"/>
        <v>0</v>
      </c>
      <c r="AO50" s="198">
        <f t="shared" ref="AO50:AR54" si="90">$AK50*AO$48</f>
        <v>0</v>
      </c>
      <c r="AP50" s="198">
        <f t="shared" si="90"/>
        <v>0</v>
      </c>
      <c r="AQ50" s="198">
        <f t="shared" si="90"/>
        <v>0</v>
      </c>
      <c r="AR50" s="198">
        <f t="shared" si="90"/>
        <v>0</v>
      </c>
    </row>
    <row r="51" spans="1:44" x14ac:dyDescent="0.15">
      <c r="A51" s="233">
        <v>0</v>
      </c>
      <c r="C51" s="187" t="s">
        <v>450</v>
      </c>
      <c r="D51" s="198">
        <f t="shared" ref="D51:H54" si="91">$A51*D$48</f>
        <v>0</v>
      </c>
      <c r="E51" s="198">
        <f t="shared" si="91"/>
        <v>0</v>
      </c>
      <c r="F51" s="198">
        <f t="shared" si="91"/>
        <v>0</v>
      </c>
      <c r="G51" s="198">
        <f t="shared" si="91"/>
        <v>0</v>
      </c>
      <c r="H51" s="198">
        <f t="shared" si="91"/>
        <v>0</v>
      </c>
      <c r="I51" s="198"/>
      <c r="J51" s="242">
        <v>0</v>
      </c>
      <c r="L51" s="187" t="s">
        <v>450</v>
      </c>
      <c r="M51" s="198">
        <f t="shared" ref="M51:M54" si="92">$J51*M$48</f>
        <v>0</v>
      </c>
      <c r="N51" s="198">
        <f t="shared" si="83"/>
        <v>0</v>
      </c>
      <c r="O51" s="198">
        <f t="shared" si="83"/>
        <v>0</v>
      </c>
      <c r="P51" s="198">
        <f t="shared" si="83"/>
        <v>0</v>
      </c>
      <c r="Q51" s="198">
        <f t="shared" si="83"/>
        <v>0</v>
      </c>
      <c r="S51" s="242">
        <v>0</v>
      </c>
      <c r="U51" s="187" t="s">
        <v>450</v>
      </c>
      <c r="V51" s="198">
        <f t="shared" si="88"/>
        <v>0</v>
      </c>
      <c r="W51" s="198">
        <f t="shared" si="88"/>
        <v>0</v>
      </c>
      <c r="X51" s="198">
        <f t="shared" si="88"/>
        <v>0</v>
      </c>
      <c r="Y51" s="198">
        <f t="shared" si="88"/>
        <v>0</v>
      </c>
      <c r="Z51" s="198">
        <f t="shared" si="88"/>
        <v>0</v>
      </c>
      <c r="AB51" s="242">
        <v>0</v>
      </c>
      <c r="AD51" s="187" t="s">
        <v>450</v>
      </c>
      <c r="AE51" s="198">
        <f t="shared" si="89"/>
        <v>0</v>
      </c>
      <c r="AF51" s="198">
        <f t="shared" si="89"/>
        <v>0</v>
      </c>
      <c r="AG51" s="198">
        <f t="shared" si="89"/>
        <v>0</v>
      </c>
      <c r="AH51" s="198">
        <f t="shared" si="89"/>
        <v>0</v>
      </c>
      <c r="AI51" s="198">
        <f t="shared" si="89"/>
        <v>0</v>
      </c>
      <c r="AK51" s="242">
        <v>0</v>
      </c>
      <c r="AM51" s="187" t="s">
        <v>450</v>
      </c>
      <c r="AN51" s="198">
        <f t="shared" si="86"/>
        <v>0</v>
      </c>
      <c r="AO51" s="198">
        <f t="shared" si="90"/>
        <v>0</v>
      </c>
      <c r="AP51" s="198">
        <f t="shared" si="90"/>
        <v>0</v>
      </c>
      <c r="AQ51" s="198">
        <f t="shared" si="90"/>
        <v>0</v>
      </c>
      <c r="AR51" s="198">
        <f t="shared" si="90"/>
        <v>0</v>
      </c>
    </row>
    <row r="52" spans="1:44" x14ac:dyDescent="0.15">
      <c r="A52" s="233">
        <v>0</v>
      </c>
      <c r="C52" s="187" t="s">
        <v>450</v>
      </c>
      <c r="D52" s="198">
        <f t="shared" si="91"/>
        <v>0</v>
      </c>
      <c r="E52" s="198">
        <f t="shared" si="91"/>
        <v>0</v>
      </c>
      <c r="F52" s="198">
        <f t="shared" si="91"/>
        <v>0</v>
      </c>
      <c r="G52" s="198">
        <f t="shared" si="91"/>
        <v>0</v>
      </c>
      <c r="H52" s="198">
        <f t="shared" si="91"/>
        <v>0</v>
      </c>
      <c r="I52" s="198"/>
      <c r="J52" s="242">
        <v>0</v>
      </c>
      <c r="L52" s="187" t="s">
        <v>450</v>
      </c>
      <c r="M52" s="198">
        <f t="shared" si="92"/>
        <v>0</v>
      </c>
      <c r="N52" s="198">
        <f t="shared" si="83"/>
        <v>0</v>
      </c>
      <c r="O52" s="198">
        <f t="shared" si="83"/>
        <v>0</v>
      </c>
      <c r="P52" s="198">
        <f t="shared" si="83"/>
        <v>0</v>
      </c>
      <c r="Q52" s="198">
        <f t="shared" si="83"/>
        <v>0</v>
      </c>
      <c r="S52" s="242">
        <v>0</v>
      </c>
      <c r="U52" s="187" t="s">
        <v>450</v>
      </c>
      <c r="V52" s="198">
        <f t="shared" si="88"/>
        <v>0</v>
      </c>
      <c r="W52" s="198">
        <f t="shared" si="88"/>
        <v>0</v>
      </c>
      <c r="X52" s="198">
        <f t="shared" si="88"/>
        <v>0</v>
      </c>
      <c r="Y52" s="198">
        <f t="shared" si="88"/>
        <v>0</v>
      </c>
      <c r="Z52" s="198">
        <f t="shared" si="88"/>
        <v>0</v>
      </c>
      <c r="AB52" s="242">
        <v>0</v>
      </c>
      <c r="AD52" s="187" t="s">
        <v>450</v>
      </c>
      <c r="AE52" s="198">
        <f t="shared" si="89"/>
        <v>0</v>
      </c>
      <c r="AF52" s="198">
        <f t="shared" si="89"/>
        <v>0</v>
      </c>
      <c r="AG52" s="198">
        <f t="shared" si="89"/>
        <v>0</v>
      </c>
      <c r="AH52" s="198">
        <f t="shared" si="89"/>
        <v>0</v>
      </c>
      <c r="AI52" s="198">
        <f t="shared" si="89"/>
        <v>0</v>
      </c>
      <c r="AK52" s="242">
        <v>0</v>
      </c>
      <c r="AM52" s="187" t="s">
        <v>450</v>
      </c>
      <c r="AN52" s="198">
        <f t="shared" si="86"/>
        <v>0</v>
      </c>
      <c r="AO52" s="198">
        <f t="shared" si="90"/>
        <v>0</v>
      </c>
      <c r="AP52" s="198">
        <f t="shared" si="90"/>
        <v>0</v>
      </c>
      <c r="AQ52" s="198">
        <f t="shared" si="90"/>
        <v>0</v>
      </c>
      <c r="AR52" s="198">
        <f t="shared" si="90"/>
        <v>0</v>
      </c>
    </row>
    <row r="53" spans="1:44" x14ac:dyDescent="0.15">
      <c r="A53" s="233">
        <v>0</v>
      </c>
      <c r="B53" s="191"/>
      <c r="C53" s="187" t="s">
        <v>450</v>
      </c>
      <c r="D53" s="198">
        <f t="shared" si="91"/>
        <v>0</v>
      </c>
      <c r="E53" s="198">
        <f t="shared" si="91"/>
        <v>0</v>
      </c>
      <c r="F53" s="198">
        <f t="shared" si="91"/>
        <v>0</v>
      </c>
      <c r="G53" s="198">
        <f t="shared" si="91"/>
        <v>0</v>
      </c>
      <c r="H53" s="198">
        <f t="shared" si="91"/>
        <v>0</v>
      </c>
      <c r="J53" s="244">
        <v>0</v>
      </c>
      <c r="L53" s="187" t="s">
        <v>450</v>
      </c>
      <c r="M53" s="198">
        <f t="shared" si="92"/>
        <v>0</v>
      </c>
      <c r="N53" s="198">
        <f t="shared" si="83"/>
        <v>0</v>
      </c>
      <c r="O53" s="198">
        <f t="shared" si="83"/>
        <v>0</v>
      </c>
      <c r="P53" s="198">
        <f t="shared" si="83"/>
        <v>0</v>
      </c>
      <c r="Q53" s="198">
        <f t="shared" si="83"/>
        <v>0</v>
      </c>
      <c r="S53" s="244">
        <v>0</v>
      </c>
      <c r="U53" s="187" t="s">
        <v>450</v>
      </c>
      <c r="V53" s="198">
        <f t="shared" si="88"/>
        <v>0</v>
      </c>
      <c r="W53" s="198">
        <f t="shared" si="88"/>
        <v>0</v>
      </c>
      <c r="X53" s="198">
        <f t="shared" si="88"/>
        <v>0</v>
      </c>
      <c r="Y53" s="198">
        <f t="shared" si="88"/>
        <v>0</v>
      </c>
      <c r="Z53" s="198">
        <f t="shared" si="88"/>
        <v>0</v>
      </c>
      <c r="AB53" s="242">
        <v>0</v>
      </c>
      <c r="AD53" s="187" t="s">
        <v>450</v>
      </c>
      <c r="AE53" s="198">
        <f t="shared" si="89"/>
        <v>0</v>
      </c>
      <c r="AF53" s="198">
        <f t="shared" si="89"/>
        <v>0</v>
      </c>
      <c r="AG53" s="198">
        <f t="shared" si="89"/>
        <v>0</v>
      </c>
      <c r="AH53" s="198">
        <f t="shared" si="89"/>
        <v>0</v>
      </c>
      <c r="AI53" s="198">
        <f t="shared" si="89"/>
        <v>0</v>
      </c>
      <c r="AK53" s="244">
        <v>0</v>
      </c>
      <c r="AM53" s="187" t="s">
        <v>450</v>
      </c>
      <c r="AN53" s="198">
        <f t="shared" si="86"/>
        <v>0</v>
      </c>
      <c r="AO53" s="198">
        <f t="shared" si="90"/>
        <v>0</v>
      </c>
      <c r="AP53" s="198">
        <f t="shared" si="90"/>
        <v>0</v>
      </c>
      <c r="AQ53" s="198">
        <f t="shared" si="90"/>
        <v>0</v>
      </c>
      <c r="AR53" s="198">
        <f t="shared" si="90"/>
        <v>0</v>
      </c>
    </row>
    <row r="54" spans="1:44" x14ac:dyDescent="0.15">
      <c r="A54" s="233">
        <v>0</v>
      </c>
      <c r="B54" s="191"/>
      <c r="C54" s="187" t="s">
        <v>450</v>
      </c>
      <c r="D54" s="198">
        <f t="shared" si="91"/>
        <v>0</v>
      </c>
      <c r="E54" s="198">
        <f t="shared" si="91"/>
        <v>0</v>
      </c>
      <c r="F54" s="198">
        <f t="shared" si="91"/>
        <v>0</v>
      </c>
      <c r="G54" s="198">
        <f t="shared" si="91"/>
        <v>0</v>
      </c>
      <c r="H54" s="198">
        <f t="shared" si="91"/>
        <v>0</v>
      </c>
      <c r="J54" s="244">
        <v>0</v>
      </c>
      <c r="L54" s="187" t="s">
        <v>450</v>
      </c>
      <c r="M54" s="198">
        <f t="shared" si="92"/>
        <v>0</v>
      </c>
      <c r="N54" s="198">
        <f t="shared" si="83"/>
        <v>0</v>
      </c>
      <c r="O54" s="198">
        <f t="shared" si="83"/>
        <v>0</v>
      </c>
      <c r="P54" s="198">
        <f t="shared" si="83"/>
        <v>0</v>
      </c>
      <c r="Q54" s="198">
        <f t="shared" si="83"/>
        <v>0</v>
      </c>
      <c r="S54" s="244">
        <v>0</v>
      </c>
      <c r="U54" s="187" t="s">
        <v>450</v>
      </c>
      <c r="V54" s="198">
        <f t="shared" si="88"/>
        <v>0</v>
      </c>
      <c r="W54" s="198">
        <f t="shared" si="88"/>
        <v>0</v>
      </c>
      <c r="X54" s="198">
        <f t="shared" si="88"/>
        <v>0</v>
      </c>
      <c r="Y54" s="198">
        <f t="shared" si="88"/>
        <v>0</v>
      </c>
      <c r="Z54" s="198">
        <f t="shared" si="88"/>
        <v>0</v>
      </c>
      <c r="AB54" s="242">
        <v>0</v>
      </c>
      <c r="AD54" s="187" t="s">
        <v>450</v>
      </c>
      <c r="AE54" s="198">
        <f t="shared" si="89"/>
        <v>0</v>
      </c>
      <c r="AF54" s="198">
        <f t="shared" si="89"/>
        <v>0</v>
      </c>
      <c r="AG54" s="198">
        <f t="shared" si="89"/>
        <v>0</v>
      </c>
      <c r="AH54" s="198">
        <f t="shared" si="89"/>
        <v>0</v>
      </c>
      <c r="AI54" s="198">
        <f t="shared" si="89"/>
        <v>0</v>
      </c>
      <c r="AK54" s="244">
        <v>0</v>
      </c>
      <c r="AM54" s="187" t="s">
        <v>450</v>
      </c>
      <c r="AN54" s="198">
        <f t="shared" si="86"/>
        <v>0</v>
      </c>
      <c r="AO54" s="198">
        <f t="shared" si="90"/>
        <v>0</v>
      </c>
      <c r="AP54" s="198">
        <f t="shared" si="90"/>
        <v>0</v>
      </c>
      <c r="AQ54" s="198">
        <f t="shared" si="90"/>
        <v>0</v>
      </c>
      <c r="AR54" s="198">
        <f t="shared" si="90"/>
        <v>0</v>
      </c>
    </row>
    <row r="55" spans="1:44" ht="12" thickBot="1" x14ac:dyDescent="0.2">
      <c r="A55" s="239"/>
      <c r="B55" s="218"/>
      <c r="C55" s="219"/>
      <c r="D55" s="219"/>
      <c r="E55" s="219"/>
      <c r="F55" s="220"/>
      <c r="G55" s="219"/>
      <c r="H55" s="219"/>
      <c r="I55" s="221"/>
      <c r="J55" s="247"/>
      <c r="K55" s="221"/>
      <c r="L55" s="221"/>
      <c r="M55" s="221"/>
      <c r="N55" s="221"/>
      <c r="O55" s="221"/>
      <c r="P55" s="221"/>
      <c r="Q55" s="221"/>
      <c r="R55" s="221"/>
      <c r="S55" s="247"/>
      <c r="T55" s="221"/>
      <c r="U55" s="221"/>
      <c r="V55" s="221"/>
      <c r="W55" s="221"/>
      <c r="X55" s="221"/>
      <c r="Y55" s="221"/>
      <c r="Z55" s="221"/>
      <c r="AB55" s="251"/>
      <c r="AC55" s="221"/>
      <c r="AD55" s="221"/>
      <c r="AE55" s="221"/>
      <c r="AF55" s="221"/>
      <c r="AG55" s="221"/>
      <c r="AH55" s="221"/>
      <c r="AI55" s="221"/>
      <c r="AK55" s="247"/>
      <c r="AL55" s="221"/>
      <c r="AM55" s="221"/>
      <c r="AN55" s="221"/>
      <c r="AO55" s="221"/>
      <c r="AP55" s="221"/>
      <c r="AQ55" s="221"/>
      <c r="AR55" s="221"/>
    </row>
    <row r="56" spans="1:44" x14ac:dyDescent="0.15">
      <c r="B56" s="213"/>
      <c r="C56" s="214"/>
      <c r="D56" s="222">
        <f>D7+D11+D19+D28+D38+D48</f>
        <v>1</v>
      </c>
      <c r="E56" s="222">
        <f>E7+E11+E19+E28+E38+E48</f>
        <v>1</v>
      </c>
      <c r="F56" s="222">
        <f>F7+F11+F19+F28+F38+F48</f>
        <v>1</v>
      </c>
      <c r="G56" s="222">
        <f>G7+G11+G19+G28+G38+G48</f>
        <v>1</v>
      </c>
      <c r="H56" s="222">
        <f>H7+H11+H19+H28+H38+H48</f>
        <v>1</v>
      </c>
      <c r="I56" s="223"/>
      <c r="J56" s="240"/>
      <c r="K56" s="222"/>
      <c r="L56" s="222"/>
      <c r="M56" s="222">
        <f>M7+M11+M19+M28+M38+M48</f>
        <v>1</v>
      </c>
      <c r="N56" s="222">
        <f>N7+N11+N19+N28+N38+N48</f>
        <v>1</v>
      </c>
      <c r="O56" s="222">
        <f>O7+O11+O19+O28+O38+O48</f>
        <v>1</v>
      </c>
      <c r="P56" s="222">
        <f>P7+P11+P19+P28+P38+P48</f>
        <v>1</v>
      </c>
      <c r="Q56" s="222">
        <f>Q7+Q11+Q19+Q28+Q38+Q48</f>
        <v>1</v>
      </c>
      <c r="R56" s="223"/>
      <c r="S56" s="240"/>
      <c r="T56" s="222"/>
      <c r="U56" s="222"/>
      <c r="V56" s="222">
        <f>V7+V11+V19+V28+V38+V48</f>
        <v>1</v>
      </c>
      <c r="W56" s="222">
        <f>W7+W11+W19+W28+W38+W48</f>
        <v>1</v>
      </c>
      <c r="X56" s="222">
        <f>X7+X11+X19+X28+X38+X48</f>
        <v>1</v>
      </c>
      <c r="Y56" s="222">
        <f>Y7+Y11+Y19+Y28+Y38+Y48</f>
        <v>1</v>
      </c>
      <c r="Z56" s="222">
        <f>Z7+Z11+Z19+Z28+Z38+Z48</f>
        <v>1</v>
      </c>
      <c r="AC56" s="222"/>
      <c r="AD56" s="222"/>
      <c r="AE56" s="222">
        <f>AE7+AE11+AE19+AE28+AE38+AE48</f>
        <v>1</v>
      </c>
      <c r="AF56" s="222">
        <f>AF7+AF11+AF19+AF28+AF38+AF48</f>
        <v>1</v>
      </c>
      <c r="AG56" s="222">
        <f>AG7+AG11+AG19+AG28+AG38+AG48</f>
        <v>1</v>
      </c>
      <c r="AH56" s="222">
        <f>AH7+AH11+AH19+AH28+AH38+AH48</f>
        <v>1</v>
      </c>
      <c r="AI56" s="222">
        <f>AI7+AI11+AI19+AI28+AI38+AI48</f>
        <v>1</v>
      </c>
      <c r="AK56" s="240"/>
      <c r="AL56" s="222"/>
      <c r="AM56" s="222"/>
      <c r="AN56" s="222">
        <f>AN7+AN11+AN19+AN28+AN38+AN48</f>
        <v>1</v>
      </c>
      <c r="AO56" s="222">
        <f>AO7+AO11+AO19+AO28+AO38+AO48</f>
        <v>1</v>
      </c>
      <c r="AP56" s="222">
        <f>AP7+AP11+AP19+AP28+AP38+AP48</f>
        <v>1</v>
      </c>
      <c r="AQ56" s="222">
        <f>AQ7+AQ11+AQ19+AQ28+AQ38+AQ48</f>
        <v>1</v>
      </c>
      <c r="AR56" s="222">
        <f>AR7+AR11+AR19+AR28+AR38+AR48</f>
        <v>1</v>
      </c>
    </row>
    <row r="57" spans="1:44" x14ac:dyDescent="0.15">
      <c r="B57" s="191"/>
      <c r="C57" s="203"/>
      <c r="D57" s="224">
        <f>SUM(D8:D10)+SUM(D12:D18)+SUM(D20:D27)+SUM(D29:D37)+SUM(D39:D47)+SUM(D49:D54)</f>
        <v>1</v>
      </c>
      <c r="E57" s="224">
        <f>SUM(E8:E10)+SUM(E12:E18)+SUM(E20:E27)+SUM(E29:E37)+SUM(E39:E47)+SUM(E49:E54)</f>
        <v>1</v>
      </c>
      <c r="F57" s="224">
        <f>SUM(F8:F10)+SUM(F12:F18)+SUM(F20:F27)+SUM(F29:F37)+SUM(F39:F47)+SUM(F49:F54)</f>
        <v>1</v>
      </c>
      <c r="G57" s="224">
        <f>SUM(G8:G10)+SUM(G12:G18)+SUM(G20:G27)+SUM(G29:G37)+SUM(G39:G47)+SUM(G49:G54)</f>
        <v>0.99999999999999989</v>
      </c>
      <c r="H57" s="224">
        <f>SUM(H8:H10)+SUM(H12:H18)+SUM(H20:H27)+SUM(H29:H37)+SUM(H39:H47)+SUM(H49:H54)</f>
        <v>1.0000000000000002</v>
      </c>
      <c r="I57" s="224"/>
      <c r="J57" s="241"/>
      <c r="K57" s="224"/>
      <c r="L57" s="224"/>
      <c r="M57" s="224">
        <f>SUM(M8:M10)+SUM(M12:M18)+SUM(M20:M27)+SUM(M29:M37)+SUM(M39:M47)+SUM(M49:M54)</f>
        <v>1</v>
      </c>
      <c r="N57" s="224">
        <f>SUM(N8:N10)+SUM(N12:N18)+SUM(N20:N27)+SUM(N29:N37)+SUM(N39:N47)+SUM(N49:N54)</f>
        <v>1</v>
      </c>
      <c r="O57" s="224">
        <f>SUM(O8:O10)+SUM(O12:O18)+SUM(O20:O27)+SUM(O29:O37)+SUM(O39:O47)+SUM(O49:O54)</f>
        <v>1</v>
      </c>
      <c r="P57" s="224">
        <f>SUM(P8:P10)+SUM(P12:P18)+SUM(P20:P27)+SUM(P29:P37)+SUM(P39:P47)+SUM(P49:P54)</f>
        <v>1</v>
      </c>
      <c r="Q57" s="224">
        <f>SUM(Q8:Q10)+SUM(Q12:Q18)+SUM(Q20:Q27)+SUM(Q29:Q37)+SUM(Q39:Q47)+SUM(Q49:Q54)</f>
        <v>1</v>
      </c>
      <c r="R57" s="224"/>
      <c r="S57" s="241"/>
      <c r="T57" s="224"/>
      <c r="U57" s="224"/>
      <c r="V57" s="224">
        <f>SUM(V8:V10)+SUM(V12:V18)+SUM(V20:V27)+SUM(V29:V37)+SUM(V39:V47)+SUM(V49:V54)</f>
        <v>1</v>
      </c>
      <c r="W57" s="224">
        <f>SUM(W8:W10)+SUM(W12:W18)+SUM(W20:W27)+SUM(W29:W37)+SUM(W39:W47)+SUM(W49:W54)</f>
        <v>1</v>
      </c>
      <c r="X57" s="224">
        <f>SUM(X8:X10)+SUM(X12:X18)+SUM(X20:X27)+SUM(X29:X37)+SUM(X39:X47)+SUM(X49:X54)</f>
        <v>1</v>
      </c>
      <c r="Y57" s="224">
        <f>SUM(Y8:Y10)+SUM(Y12:Y18)+SUM(Y20:Y27)+SUM(Y29:Y37)+SUM(Y39:Y47)+SUM(Y49:Y54)</f>
        <v>1</v>
      </c>
      <c r="Z57" s="224">
        <f>SUM(Z8:Z10)+SUM(Z12:Z18)+SUM(Z20:Z27)+SUM(Z29:Z37)+SUM(Z39:Z47)+SUM(Z49:Z54)</f>
        <v>1</v>
      </c>
      <c r="AB57" s="243"/>
      <c r="AC57" s="224"/>
      <c r="AD57" s="224"/>
      <c r="AE57" s="224">
        <f>SUM(AE8:AE10)+SUM(AE12:AE18)+SUM(AE20:AE27)+SUM(AE29:AE37)+SUM(AE39:AE47)+SUM(AE49:AE54)</f>
        <v>1</v>
      </c>
      <c r="AF57" s="224">
        <f>SUM(AF8:AF10)+SUM(AF12:AF18)+SUM(AF20:AF27)+SUM(AF29:AF37)+SUM(AF39:AF47)+SUM(AF49:AF54)</f>
        <v>1</v>
      </c>
      <c r="AG57" s="224">
        <f>SUM(AG8:AG10)+SUM(AG12:AG18)+SUM(AG20:AG27)+SUM(AG29:AG37)+SUM(AG39:AG47)+SUM(AG49:AG54)</f>
        <v>0.99999999999999989</v>
      </c>
      <c r="AH57" s="224">
        <f>SUM(AH8:AH10)+SUM(AH12:AH18)+SUM(AH20:AH27)+SUM(AH29:AH37)+SUM(AH39:AH47)+SUM(AH49:AH54)</f>
        <v>1</v>
      </c>
      <c r="AI57" s="224">
        <f>SUM(AI8:AI10)+SUM(AI12:AI18)+SUM(AI20:AI27)+SUM(AI29:AI37)+SUM(AI39:AI47)+SUM(AI49:AI54)</f>
        <v>1</v>
      </c>
      <c r="AK57" s="241"/>
      <c r="AL57" s="224"/>
      <c r="AM57" s="224"/>
      <c r="AN57" s="224">
        <f>SUM(AN8:AN10)+SUM(AN12:AN18)+SUM(AN20:AN27)+SUM(AN29:AN37)+SUM(AN39:AN47)+SUM(AN49:AN54)</f>
        <v>1</v>
      </c>
      <c r="AO57" s="224">
        <f>SUM(AO8:AO10)+SUM(AO12:AO18)+SUM(AO20:AO27)+SUM(AO29:AO37)+SUM(AO39:AO47)+SUM(AO49:AO54)</f>
        <v>1</v>
      </c>
      <c r="AP57" s="224">
        <f>SUM(AP8:AP10)+SUM(AP12:AP18)+SUM(AP20:AP27)+SUM(AP29:AP37)+SUM(AP39:AP47)+SUM(AP49:AP54)</f>
        <v>1</v>
      </c>
      <c r="AQ57" s="224">
        <f>SUM(AQ8:AQ10)+SUM(AQ12:AQ18)+SUM(AQ20:AQ27)+SUM(AQ29:AQ37)+SUM(AQ39:AQ47)+SUM(AQ49:AQ54)</f>
        <v>1</v>
      </c>
      <c r="AR57" s="224">
        <f>SUM(AR8:AR10)+SUM(AR12:AR18)+SUM(AR20:AR27)+SUM(AR29:AR37)+SUM(AR39:AR47)+SUM(AR49:AR54)</f>
        <v>1</v>
      </c>
    </row>
    <row r="61" spans="1:44" x14ac:dyDescent="0.15">
      <c r="D61" s="215"/>
    </row>
    <row r="62" spans="1:44" x14ac:dyDescent="0.15">
      <c r="D62" s="215"/>
    </row>
    <row r="63" spans="1:44" x14ac:dyDescent="0.15">
      <c r="D63" s="215"/>
    </row>
    <row r="64" spans="1:44" x14ac:dyDescent="0.15">
      <c r="D64" s="215"/>
    </row>
    <row r="65" spans="4:4" x14ac:dyDescent="0.15">
      <c r="D65" s="215"/>
    </row>
    <row r="66" spans="4:4" x14ac:dyDescent="0.15">
      <c r="D66" s="215"/>
    </row>
    <row r="67" spans="4:4" x14ac:dyDescent="0.15">
      <c r="D67" s="215"/>
    </row>
  </sheetData>
  <conditionalFormatting sqref="D56:H57">
    <cfRule type="cellIs" dxfId="5" priority="5" operator="notEqual">
      <formula>1</formula>
    </cfRule>
    <cfRule type="cellIs" dxfId="4" priority="6" operator="notEqual">
      <formula>1</formula>
    </cfRule>
  </conditionalFormatting>
  <conditionalFormatting sqref="M56:Q57">
    <cfRule type="cellIs" dxfId="3" priority="4" operator="notEqual">
      <formula>1</formula>
    </cfRule>
  </conditionalFormatting>
  <conditionalFormatting sqref="V56:Z57">
    <cfRule type="cellIs" dxfId="2" priority="3" operator="notEqual">
      <formula>1</formula>
    </cfRule>
  </conditionalFormatting>
  <conditionalFormatting sqref="AE56:AI57">
    <cfRule type="cellIs" dxfId="1" priority="2" operator="notEqual">
      <formula>1</formula>
    </cfRule>
  </conditionalFormatting>
  <conditionalFormatting sqref="AN56:AR57">
    <cfRule type="cellIs" dxfId="0" priority="1" operator="notEqual">
      <formula>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ABBA1-404D-4A62-9168-E9496DDB18C2}">
  <sheetPr codeName="Sheet9"/>
  <dimension ref="A1:AB62"/>
  <sheetViews>
    <sheetView workbookViewId="0">
      <selection activeCell="D42" sqref="D42"/>
    </sheetView>
  </sheetViews>
  <sheetFormatPr baseColWidth="10" defaultColWidth="16.1640625" defaultRowHeight="11" x14ac:dyDescent="0.15"/>
  <cols>
    <col min="1" max="1" width="7.83203125" style="146" bestFit="1" customWidth="1"/>
    <col min="2" max="2" width="7.33203125" style="146" bestFit="1" customWidth="1"/>
    <col min="3" max="3" width="7.1640625" style="146" bestFit="1" customWidth="1"/>
    <col min="4" max="4" width="7.33203125" style="146" bestFit="1" customWidth="1"/>
    <col min="5" max="5" width="8.6640625" style="146" bestFit="1" customWidth="1"/>
    <col min="6" max="6" width="6.6640625" style="146" bestFit="1" customWidth="1"/>
    <col min="7" max="7" width="6.1640625" style="146" bestFit="1" customWidth="1"/>
    <col min="8" max="8" width="7.5" style="146" bestFit="1" customWidth="1"/>
    <col min="9" max="9" width="5.33203125" style="146" bestFit="1" customWidth="1"/>
    <col min="10" max="10" width="6.1640625" style="146" bestFit="1" customWidth="1"/>
    <col min="11" max="11" width="7.1640625" style="146" bestFit="1" customWidth="1"/>
    <col min="12" max="12" width="8.1640625" style="146" bestFit="1" customWidth="1"/>
    <col min="13" max="13" width="7.5" style="146" bestFit="1" customWidth="1"/>
    <col min="14" max="14" width="7.6640625" style="146" bestFit="1" customWidth="1"/>
    <col min="15" max="15" width="4.6640625" style="146" bestFit="1" customWidth="1"/>
    <col min="16" max="16" width="5.5" style="146" bestFit="1" customWidth="1"/>
    <col min="17" max="17" width="6.1640625" style="146" bestFit="1" customWidth="1"/>
    <col min="18" max="18" width="6.6640625" style="146" bestFit="1" customWidth="1"/>
    <col min="19" max="19" width="7.6640625" style="146" bestFit="1" customWidth="1"/>
    <col min="20" max="20" width="6.1640625" style="146" bestFit="1" customWidth="1"/>
    <col min="21" max="22" width="8.1640625" style="146" bestFit="1" customWidth="1"/>
    <col min="23" max="23" width="7.5" style="146" bestFit="1" customWidth="1"/>
    <col min="24" max="24" width="7" style="146" bestFit="1" customWidth="1"/>
    <col min="25" max="25" width="7.5" style="146" bestFit="1" customWidth="1"/>
    <col min="26" max="26" width="5.33203125" style="146" bestFit="1" customWidth="1"/>
    <col min="27" max="27" width="8.1640625" style="146" bestFit="1" customWidth="1"/>
    <col min="28" max="28" width="10" style="146" bestFit="1" customWidth="1"/>
    <col min="29" max="16384" width="16.1640625" style="146"/>
  </cols>
  <sheetData>
    <row r="1" spans="1:28" s="144" customFormat="1" ht="50.25" customHeight="1" x14ac:dyDescent="0.15">
      <c r="A1" s="142" t="s">
        <v>424</v>
      </c>
      <c r="B1" s="143" t="s">
        <v>392</v>
      </c>
      <c r="C1" s="143" t="s">
        <v>393</v>
      </c>
      <c r="D1" s="143" t="s">
        <v>394</v>
      </c>
      <c r="E1" s="143" t="s">
        <v>395</v>
      </c>
      <c r="F1" s="143" t="s">
        <v>396</v>
      </c>
      <c r="G1" s="143" t="s">
        <v>397</v>
      </c>
      <c r="H1" s="143" t="s">
        <v>398</v>
      </c>
      <c r="I1" s="143" t="s">
        <v>399</v>
      </c>
      <c r="J1" s="143" t="s">
        <v>400</v>
      </c>
      <c r="K1" s="143" t="s">
        <v>401</v>
      </c>
      <c r="L1" s="143" t="s">
        <v>402</v>
      </c>
      <c r="M1" s="143" t="s">
        <v>403</v>
      </c>
      <c r="N1" s="143" t="s">
        <v>404</v>
      </c>
      <c r="O1" s="143" t="s">
        <v>354</v>
      </c>
      <c r="P1" s="143" t="s">
        <v>405</v>
      </c>
      <c r="Q1" s="143" t="s">
        <v>408</v>
      </c>
      <c r="R1" s="143" t="s">
        <v>409</v>
      </c>
      <c r="S1" s="143" t="s">
        <v>410</v>
      </c>
      <c r="T1" s="143" t="s">
        <v>411</v>
      </c>
      <c r="U1" s="143" t="s">
        <v>412</v>
      </c>
      <c r="V1" s="143" t="s">
        <v>413</v>
      </c>
      <c r="W1" s="143" t="s">
        <v>414</v>
      </c>
      <c r="X1" s="143" t="s">
        <v>415</v>
      </c>
      <c r="Y1" s="143" t="s">
        <v>416</v>
      </c>
      <c r="Z1" s="143" t="s">
        <v>419</v>
      </c>
      <c r="AA1" s="143" t="s">
        <v>407</v>
      </c>
      <c r="AB1" s="143" t="s">
        <v>406</v>
      </c>
    </row>
    <row r="2" spans="1:28" x14ac:dyDescent="0.15">
      <c r="A2" s="147">
        <v>44104</v>
      </c>
      <c r="B2" s="145"/>
      <c r="C2" s="145">
        <v>-1.73312</v>
      </c>
      <c r="D2" s="145">
        <v>-4.0983599999999996</v>
      </c>
      <c r="E2" s="145">
        <v>-3.7381099999999998</v>
      </c>
      <c r="F2" s="145">
        <v>-1.6624399999999999</v>
      </c>
      <c r="G2" s="145">
        <v>0.64002292919647097</v>
      </c>
      <c r="H2" s="145">
        <v>-2.2800000019432498</v>
      </c>
      <c r="I2" s="145">
        <v>-1.7900000000148686</v>
      </c>
      <c r="J2" s="145">
        <v>-2.4600000000724709</v>
      </c>
      <c r="K2" s="145">
        <v>-1.3017399999999999</v>
      </c>
      <c r="L2" s="145"/>
      <c r="M2" s="145"/>
      <c r="N2" s="145">
        <v>-2.6234600000000001</v>
      </c>
      <c r="O2" s="145">
        <v>-3.22424</v>
      </c>
      <c r="P2" s="145"/>
      <c r="Q2" s="145">
        <v>-0.53332999999999997</v>
      </c>
      <c r="R2" s="145">
        <v>-3.97004</v>
      </c>
      <c r="S2" s="145">
        <v>-3.6886299999999999</v>
      </c>
      <c r="T2" s="145">
        <v>-2.67883</v>
      </c>
      <c r="U2" s="145">
        <v>-3.1296599999999999</v>
      </c>
      <c r="V2" s="145">
        <v>-1.5822799999999999</v>
      </c>
      <c r="W2" s="145">
        <v>-1.5503899999999999</v>
      </c>
      <c r="X2" s="145"/>
      <c r="Y2" s="145"/>
      <c r="Z2" s="145"/>
      <c r="AA2" s="145">
        <v>-0.76218679163423952</v>
      </c>
      <c r="AB2" s="145">
        <v>-5.2699999985175605</v>
      </c>
    </row>
    <row r="3" spans="1:28" x14ac:dyDescent="0.15">
      <c r="A3" s="147">
        <v>44135</v>
      </c>
      <c r="B3" s="145"/>
      <c r="C3" s="145">
        <v>-2.5224899999999999</v>
      </c>
      <c r="D3" s="145">
        <v>-2.3556400000000002</v>
      </c>
      <c r="E3" s="145">
        <v>-1.94628</v>
      </c>
      <c r="F3" s="145">
        <v>-0.57306999999999997</v>
      </c>
      <c r="G3" s="145">
        <v>-1.7899857229163318</v>
      </c>
      <c r="H3" s="145">
        <v>-3.1800000017766505</v>
      </c>
      <c r="I3" s="145">
        <v>-0.20000000043061128</v>
      </c>
      <c r="J3" s="145">
        <v>0.68000000013117567</v>
      </c>
      <c r="K3" s="145">
        <v>-1.8261799999999999</v>
      </c>
      <c r="L3" s="145"/>
      <c r="M3" s="145"/>
      <c r="N3" s="145">
        <v>0.87163000000000002</v>
      </c>
      <c r="O3" s="145">
        <v>-2.4298600000000001</v>
      </c>
      <c r="P3" s="145"/>
      <c r="Q3" s="145">
        <v>-2.0554100000000002</v>
      </c>
      <c r="R3" s="145">
        <v>-2.5167099999999998</v>
      </c>
      <c r="S3" s="145">
        <v>-2.13273</v>
      </c>
      <c r="T3" s="145">
        <v>-2.48034</v>
      </c>
      <c r="U3" s="145">
        <v>-4.9230799999999997</v>
      </c>
      <c r="V3" s="145">
        <v>3.1511300000000002</v>
      </c>
      <c r="W3" s="145">
        <v>-2.3622000000000001</v>
      </c>
      <c r="X3" s="145"/>
      <c r="Y3" s="145"/>
      <c r="Z3" s="145"/>
      <c r="AA3" s="145">
        <v>-2.9749236835766113</v>
      </c>
      <c r="AB3" s="145">
        <v>4.3599999972286918</v>
      </c>
    </row>
    <row r="4" spans="1:28" x14ac:dyDescent="0.15">
      <c r="A4" s="147">
        <v>44165</v>
      </c>
      <c r="B4" s="145"/>
      <c r="C4" s="145">
        <v>10.401859999999999</v>
      </c>
      <c r="D4" s="145">
        <v>10.97353</v>
      </c>
      <c r="E4" s="145">
        <v>10.877330000000001</v>
      </c>
      <c r="F4" s="145">
        <v>8.3861699999999999</v>
      </c>
      <c r="G4" s="145">
        <v>23.609989994743017</v>
      </c>
      <c r="H4" s="145">
        <v>10.110000001029151</v>
      </c>
      <c r="I4" s="145">
        <v>13.010000000057719</v>
      </c>
      <c r="J4" s="145">
        <v>12.439999999988039</v>
      </c>
      <c r="K4" s="145">
        <v>11.953150000000001</v>
      </c>
      <c r="L4" s="145"/>
      <c r="M4" s="145"/>
      <c r="N4" s="145">
        <v>11.940300000000001</v>
      </c>
      <c r="O4" s="145">
        <v>12.349170000000001</v>
      </c>
      <c r="P4" s="145"/>
      <c r="Q4" s="145">
        <v>12.773720000000001</v>
      </c>
      <c r="R4" s="145">
        <v>11.765499999999999</v>
      </c>
      <c r="S4" s="145">
        <v>12.23606</v>
      </c>
      <c r="T4" s="145">
        <v>16.509049999999998</v>
      </c>
      <c r="U4" s="145">
        <v>3.8025899999999999</v>
      </c>
      <c r="V4" s="145">
        <v>5.0498799999999999</v>
      </c>
      <c r="W4" s="145">
        <v>10.80645</v>
      </c>
      <c r="X4" s="145"/>
      <c r="Y4" s="145"/>
      <c r="Z4" s="145"/>
      <c r="AA4" s="145">
        <v>13.977119119344319</v>
      </c>
      <c r="AB4" s="145">
        <v>9.4400000030099527</v>
      </c>
    </row>
    <row r="5" spans="1:28" x14ac:dyDescent="0.15">
      <c r="A5" s="147">
        <v>44196</v>
      </c>
      <c r="B5" s="145"/>
      <c r="C5" s="145">
        <v>3.26322</v>
      </c>
      <c r="D5" s="145">
        <v>4.9291099999999997</v>
      </c>
      <c r="E5" s="145">
        <v>4.4459999999999997</v>
      </c>
      <c r="F5" s="145">
        <v>4.2541900000000004</v>
      </c>
      <c r="G5" s="145">
        <v>8.8899848850844556</v>
      </c>
      <c r="H5" s="145">
        <v>4.4599999991660644</v>
      </c>
      <c r="I5" s="145">
        <v>5.4099999999885906</v>
      </c>
      <c r="J5" s="145">
        <v>5.9999999992609521</v>
      </c>
      <c r="K5" s="145">
        <v>3.5445600000000002</v>
      </c>
      <c r="L5" s="145"/>
      <c r="M5" s="145"/>
      <c r="N5" s="145">
        <v>11.08605</v>
      </c>
      <c r="O5" s="145">
        <v>4.6452400000000003</v>
      </c>
      <c r="P5" s="145"/>
      <c r="Q5" s="145">
        <v>5.9486699999999999</v>
      </c>
      <c r="R5" s="145">
        <v>3.9232</v>
      </c>
      <c r="S5" s="145">
        <v>4.4650499999999997</v>
      </c>
      <c r="T5" s="145">
        <v>7.2370200000000002</v>
      </c>
      <c r="U5" s="145">
        <v>0.89122999999999997</v>
      </c>
      <c r="V5" s="145">
        <v>6.7851400000000002</v>
      </c>
      <c r="W5" s="145">
        <v>4.66486</v>
      </c>
      <c r="X5" s="145"/>
      <c r="Y5" s="145"/>
      <c r="Z5" s="145"/>
      <c r="AA5" s="145">
        <v>5.2012384999484125</v>
      </c>
      <c r="AB5" s="145">
        <v>0.79999999926922971</v>
      </c>
    </row>
    <row r="6" spans="1:28" x14ac:dyDescent="0.15">
      <c r="A6" s="147">
        <v>44227</v>
      </c>
      <c r="B6" s="145">
        <v>-1.6060700000000001</v>
      </c>
      <c r="C6" s="145">
        <v>-1.6186</v>
      </c>
      <c r="D6" s="145">
        <v>-0.84636999999999996</v>
      </c>
      <c r="E6" s="145">
        <v>-0.55556000000000005</v>
      </c>
      <c r="F6" s="145">
        <v>-2.1168100000000001</v>
      </c>
      <c r="G6" s="145">
        <v>6.5900124887199985</v>
      </c>
      <c r="H6" s="145">
        <v>-4.6400000003678503</v>
      </c>
      <c r="I6" s="145">
        <v>-1.2299999995177946</v>
      </c>
      <c r="J6" s="145">
        <v>0.93000000041039144</v>
      </c>
      <c r="K6" s="145">
        <v>-1.31934</v>
      </c>
      <c r="L6" s="145"/>
      <c r="M6" s="145"/>
      <c r="N6" s="145">
        <v>6.97051</v>
      </c>
      <c r="O6" s="145">
        <v>-0.45113999999999999</v>
      </c>
      <c r="P6" s="145"/>
      <c r="Q6" s="145">
        <v>-1.45594</v>
      </c>
      <c r="R6" s="145">
        <v>-0.58086000000000004</v>
      </c>
      <c r="S6" s="145">
        <v>-0.34775</v>
      </c>
      <c r="T6" s="145">
        <v>-0.87807000000000002</v>
      </c>
      <c r="U6" s="145">
        <v>-2.3201900000000002</v>
      </c>
      <c r="V6" s="145">
        <v>1.0585</v>
      </c>
      <c r="W6" s="145">
        <v>-0.35360999999999998</v>
      </c>
      <c r="X6" s="145"/>
      <c r="Y6" s="145"/>
      <c r="Z6" s="145"/>
      <c r="AA6" s="145">
        <v>-0.86910419686192864</v>
      </c>
      <c r="AB6" s="145">
        <v>1.9699999999481133</v>
      </c>
    </row>
    <row r="7" spans="1:28" x14ac:dyDescent="0.15">
      <c r="A7" s="147">
        <v>44255</v>
      </c>
      <c r="B7" s="145">
        <v>3.4839600000000002</v>
      </c>
      <c r="C7" s="145">
        <v>3.99017</v>
      </c>
      <c r="D7" s="145">
        <v>2.2267600000000001</v>
      </c>
      <c r="E7" s="145">
        <v>1.5363100000000001</v>
      </c>
      <c r="F7" s="145">
        <v>1.3288199999999999</v>
      </c>
      <c r="G7" s="145">
        <v>-7.8999990839484502</v>
      </c>
      <c r="H7" s="145">
        <v>4.2200000019395389</v>
      </c>
      <c r="I7" s="145">
        <v>9.9399999997960009</v>
      </c>
      <c r="J7" s="145">
        <v>2.8099999994926739</v>
      </c>
      <c r="K7" s="145">
        <v>3.4639899999999999</v>
      </c>
      <c r="L7" s="145"/>
      <c r="M7" s="145"/>
      <c r="N7" s="145">
        <v>1.9423600000000001</v>
      </c>
      <c r="O7" s="145">
        <v>2.2880500000000001</v>
      </c>
      <c r="P7" s="145"/>
      <c r="Q7" s="145">
        <v>1.3996900000000001</v>
      </c>
      <c r="R7" s="145">
        <v>2.5356399999999999</v>
      </c>
      <c r="S7" s="145">
        <v>3.1987899999999998</v>
      </c>
      <c r="T7" s="145">
        <v>6.1756500000000001</v>
      </c>
      <c r="U7" s="145">
        <v>1.6627099999999999</v>
      </c>
      <c r="V7" s="145">
        <v>0.82689999999999997</v>
      </c>
      <c r="W7" s="145">
        <v>2.5550000000000002</v>
      </c>
      <c r="X7" s="145"/>
      <c r="Y7" s="145"/>
      <c r="Z7" s="145"/>
      <c r="AA7" s="145">
        <v>3.2962135078897283</v>
      </c>
      <c r="AB7" s="145">
        <v>-1.1399999986128173</v>
      </c>
    </row>
    <row r="8" spans="1:28" x14ac:dyDescent="0.15">
      <c r="A8" s="147">
        <v>44286</v>
      </c>
      <c r="B8" s="145">
        <v>3.2868400000000002</v>
      </c>
      <c r="C8" s="145">
        <v>4.7650499999999996</v>
      </c>
      <c r="D8" s="145">
        <v>3.95716</v>
      </c>
      <c r="E8" s="145">
        <v>4.62195</v>
      </c>
      <c r="F8" s="145">
        <v>1.1314</v>
      </c>
      <c r="G8" s="145">
        <v>-0.6600152851724217</v>
      </c>
      <c r="H8" s="145">
        <v>2.0000000011566987</v>
      </c>
      <c r="I8" s="145">
        <v>3.3299999997326912</v>
      </c>
      <c r="J8" s="145">
        <v>3.480000001318051</v>
      </c>
      <c r="K8" s="145">
        <v>4.7313599999999996</v>
      </c>
      <c r="L8" s="145"/>
      <c r="M8" s="145"/>
      <c r="N8" s="145">
        <v>-3.68777</v>
      </c>
      <c r="O8" s="145">
        <v>2.70153</v>
      </c>
      <c r="P8" s="145"/>
      <c r="Q8" s="145">
        <v>0.69018000000000002</v>
      </c>
      <c r="R8" s="145">
        <v>3.8139500000000002</v>
      </c>
      <c r="S8" s="145">
        <v>3.4843199999999999</v>
      </c>
      <c r="T8" s="145">
        <v>3.0035799999999999</v>
      </c>
      <c r="U8" s="145">
        <v>2.1027999999999998</v>
      </c>
      <c r="V8" s="145">
        <v>-3.11646</v>
      </c>
      <c r="W8" s="145">
        <v>0.27682000000000001</v>
      </c>
      <c r="X8" s="145"/>
      <c r="Y8" s="145"/>
      <c r="Z8" s="145"/>
      <c r="AA8" s="145">
        <v>0.65694100770337216</v>
      </c>
      <c r="AB8" s="145">
        <v>8.8299999978033163</v>
      </c>
    </row>
    <row r="9" spans="1:28" x14ac:dyDescent="0.15">
      <c r="A9" s="147">
        <v>44316</v>
      </c>
      <c r="B9" s="145">
        <v>4.2976099999999997</v>
      </c>
      <c r="C9" s="145">
        <v>4.6228699999999998</v>
      </c>
      <c r="D9" s="145">
        <v>4.1906800000000004</v>
      </c>
      <c r="E9" s="145">
        <v>4.77759</v>
      </c>
      <c r="F9" s="145">
        <v>6.4327500000000004</v>
      </c>
      <c r="G9" s="145">
        <v>-1.0399928944584969</v>
      </c>
      <c r="H9" s="145">
        <v>4.4799999981855576</v>
      </c>
      <c r="I9" s="145">
        <v>5.1100000003210466</v>
      </c>
      <c r="J9" s="145">
        <v>5.2099999989800194</v>
      </c>
      <c r="K9" s="145">
        <v>3.4414699999999998</v>
      </c>
      <c r="L9" s="145"/>
      <c r="M9" s="145"/>
      <c r="N9" s="145">
        <v>2.42502</v>
      </c>
      <c r="O9" s="145">
        <v>4.3350200000000001</v>
      </c>
      <c r="P9" s="145"/>
      <c r="Q9" s="145">
        <v>4.5696899999999996</v>
      </c>
      <c r="R9" s="145">
        <v>5.1640600000000001</v>
      </c>
      <c r="S9" s="145">
        <v>5.1469800000000001</v>
      </c>
      <c r="T9" s="145">
        <v>3.1474199999999999</v>
      </c>
      <c r="U9" s="145">
        <v>5.1868800000000004</v>
      </c>
      <c r="V9" s="145">
        <v>1.1286700000000001</v>
      </c>
      <c r="W9" s="145">
        <v>2.9675600000000002</v>
      </c>
      <c r="X9" s="145"/>
      <c r="Y9" s="145"/>
      <c r="Z9" s="145"/>
      <c r="AA9" s="145">
        <v>5.7168037190269541</v>
      </c>
      <c r="AB9" s="145">
        <v>5.4100000010974592</v>
      </c>
    </row>
    <row r="10" spans="1:28" x14ac:dyDescent="0.15">
      <c r="A10" s="147">
        <v>44347</v>
      </c>
      <c r="B10" s="145">
        <v>2.25915</v>
      </c>
      <c r="C10" s="145">
        <v>0.66444999999999999</v>
      </c>
      <c r="D10" s="145">
        <v>0.88822000000000001</v>
      </c>
      <c r="E10" s="145">
        <v>0.44024999999999997</v>
      </c>
      <c r="F10" s="145">
        <v>-1.0272300000000001</v>
      </c>
      <c r="G10" s="145">
        <v>-1.6399937989050151</v>
      </c>
      <c r="H10" s="145">
        <v>2.0300000019645603</v>
      </c>
      <c r="I10" s="145">
        <v>1.979999999681481</v>
      </c>
      <c r="J10" s="145">
        <v>1.1799999999869248</v>
      </c>
      <c r="K10" s="145">
        <v>2.8633799999999998</v>
      </c>
      <c r="L10" s="145"/>
      <c r="M10" s="145"/>
      <c r="N10" s="145">
        <v>2.3052999999999999</v>
      </c>
      <c r="O10" s="145">
        <v>1.51271</v>
      </c>
      <c r="P10" s="145"/>
      <c r="Q10" s="145">
        <v>0.72833000000000003</v>
      </c>
      <c r="R10" s="145">
        <v>0.60726999999999998</v>
      </c>
      <c r="S10" s="145">
        <v>0.44689000000000001</v>
      </c>
      <c r="T10" s="145">
        <v>4.3302699999999996</v>
      </c>
      <c r="U10" s="145">
        <v>2.8281399999999999</v>
      </c>
      <c r="V10" s="145">
        <v>4.0178599999999998</v>
      </c>
      <c r="W10" s="145">
        <v>2.07775</v>
      </c>
      <c r="X10" s="145"/>
      <c r="Y10" s="145"/>
      <c r="Z10" s="145"/>
      <c r="AA10" s="145">
        <v>-0.65497790347976603</v>
      </c>
      <c r="AB10" s="145">
        <v>1.6899999979782754</v>
      </c>
    </row>
    <row r="11" spans="1:28" x14ac:dyDescent="0.15">
      <c r="A11" s="147">
        <v>44377</v>
      </c>
      <c r="B11" s="145">
        <v>0.28682999999999997</v>
      </c>
      <c r="C11" s="145">
        <v>2.0137</v>
      </c>
      <c r="D11" s="145">
        <v>2.7740900000000002</v>
      </c>
      <c r="E11" s="145">
        <v>2.5628600000000001</v>
      </c>
      <c r="F11" s="145">
        <v>7.5549099999999996</v>
      </c>
      <c r="G11" s="145">
        <v>8.6299816240759775</v>
      </c>
      <c r="H11" s="145">
        <v>2.5099999972595377</v>
      </c>
      <c r="I11" s="145">
        <v>-2.2500000000147069</v>
      </c>
      <c r="J11" s="145">
        <v>1.9399999998528816</v>
      </c>
      <c r="K11" s="145">
        <v>-0.55672999999999995</v>
      </c>
      <c r="L11" s="145"/>
      <c r="M11" s="145"/>
      <c r="N11" s="145">
        <v>4.0803900000000004</v>
      </c>
      <c r="O11" s="145">
        <v>1.3472500000000001</v>
      </c>
      <c r="P11" s="145"/>
      <c r="Q11" s="145">
        <v>2.4584199999999998</v>
      </c>
      <c r="R11" s="145">
        <v>2.72926</v>
      </c>
      <c r="S11" s="145">
        <v>2.5342899999999999</v>
      </c>
      <c r="T11" s="145">
        <v>-1.2473099999999999</v>
      </c>
      <c r="U11" s="145">
        <v>2.46827</v>
      </c>
      <c r="V11" s="145">
        <v>0.16094</v>
      </c>
      <c r="W11" s="145">
        <v>6.5659999999999996E-2</v>
      </c>
      <c r="X11" s="145"/>
      <c r="Y11" s="145"/>
      <c r="Z11" s="145"/>
      <c r="AA11" s="145">
        <v>3.6343355760613929</v>
      </c>
      <c r="AB11" s="145">
        <v>1.0100000019898747</v>
      </c>
    </row>
    <row r="12" spans="1:28" x14ac:dyDescent="0.15">
      <c r="A12" s="147">
        <v>44408</v>
      </c>
      <c r="B12" s="145">
        <v>0.98180999999999996</v>
      </c>
      <c r="C12" s="145">
        <v>3.2723100000000001</v>
      </c>
      <c r="D12" s="145">
        <v>2.5537399999999999</v>
      </c>
      <c r="E12" s="145">
        <v>1.9577899999999999</v>
      </c>
      <c r="F12" s="145">
        <v>6.2836600000000002</v>
      </c>
      <c r="G12" s="145">
        <v>1.289995448727943</v>
      </c>
      <c r="H12" s="145">
        <v>4.2000000014297934</v>
      </c>
      <c r="I12" s="145">
        <v>0.75000000000451372</v>
      </c>
      <c r="J12" s="145">
        <v>1.4100000010114799</v>
      </c>
      <c r="K12" s="145">
        <v>1.8661700000000001</v>
      </c>
      <c r="L12" s="145"/>
      <c r="M12" s="145"/>
      <c r="N12" s="145">
        <v>-0.40960000000000002</v>
      </c>
      <c r="O12" s="145">
        <v>0.66147</v>
      </c>
      <c r="P12" s="145"/>
      <c r="Q12" s="145">
        <v>2.1171500000000001</v>
      </c>
      <c r="R12" s="145">
        <v>2.2141000000000002</v>
      </c>
      <c r="S12" s="145">
        <v>1.7196</v>
      </c>
      <c r="T12" s="145">
        <v>0.13066</v>
      </c>
      <c r="U12" s="145">
        <v>0.82587999999999995</v>
      </c>
      <c r="V12" s="145">
        <v>-5.0348199999999999</v>
      </c>
      <c r="W12" s="145">
        <v>-0.19685</v>
      </c>
      <c r="X12" s="145"/>
      <c r="Y12" s="145"/>
      <c r="Z12" s="145"/>
      <c r="AA12" s="145">
        <v>1.0867932179559778</v>
      </c>
      <c r="AB12" s="145">
        <v>-0.75000000026007596</v>
      </c>
    </row>
    <row r="13" spans="1:28" x14ac:dyDescent="0.15">
      <c r="A13" s="147">
        <v>44439</v>
      </c>
      <c r="B13" s="145">
        <v>2.38354</v>
      </c>
      <c r="C13" s="145">
        <v>2.8392200000000001</v>
      </c>
      <c r="D13" s="145">
        <v>3.7037</v>
      </c>
      <c r="E13" s="145">
        <v>3.33033</v>
      </c>
      <c r="F13" s="145">
        <v>4.4552399999999999</v>
      </c>
      <c r="G13" s="145">
        <v>6.7900225630435296</v>
      </c>
      <c r="H13" s="145">
        <v>0.76999999897089388</v>
      </c>
      <c r="I13" s="145">
        <v>1.9300000003134477</v>
      </c>
      <c r="J13" s="145">
        <v>3.0699999997324756</v>
      </c>
      <c r="K13" s="145">
        <v>1.7534700000000001</v>
      </c>
      <c r="L13" s="145"/>
      <c r="M13" s="145"/>
      <c r="N13" s="145">
        <v>-0.23502000000000001</v>
      </c>
      <c r="O13" s="145">
        <v>2.3931</v>
      </c>
      <c r="P13" s="145"/>
      <c r="Q13" s="145">
        <v>3.0407700000000002</v>
      </c>
      <c r="R13" s="145">
        <v>3.0306000000000002</v>
      </c>
      <c r="S13" s="145">
        <v>2.8540199999999998</v>
      </c>
      <c r="T13" s="145">
        <v>0.26097999999999999</v>
      </c>
      <c r="U13" s="145">
        <v>3.2081900000000001</v>
      </c>
      <c r="V13" s="145">
        <v>3.21489</v>
      </c>
      <c r="W13" s="145">
        <v>2.5640999999999998</v>
      </c>
      <c r="X13" s="145"/>
      <c r="Y13" s="145"/>
      <c r="Z13" s="145"/>
      <c r="AA13" s="145">
        <v>2.1143105448738155</v>
      </c>
      <c r="AB13" s="145">
        <v>1.1300000002795185</v>
      </c>
    </row>
    <row r="14" spans="1:28" x14ac:dyDescent="0.15">
      <c r="A14" s="147">
        <v>44469</v>
      </c>
      <c r="B14" s="145">
        <v>-3.6363099999999999</v>
      </c>
      <c r="C14" s="145">
        <v>-5.6702300000000001</v>
      </c>
      <c r="D14" s="145">
        <v>-5.8358699999999999</v>
      </c>
      <c r="E14" s="145">
        <v>-5.0009699999999997</v>
      </c>
      <c r="F14" s="145">
        <v>-5.4174199999999999</v>
      </c>
      <c r="G14" s="145">
        <v>-5.3500195696263404</v>
      </c>
      <c r="H14" s="145">
        <v>-6.0699999984093704</v>
      </c>
      <c r="I14" s="145">
        <v>-1.6600000001644077</v>
      </c>
      <c r="J14" s="145">
        <v>-4.0999999999061121</v>
      </c>
      <c r="K14" s="145">
        <v>-3.88374</v>
      </c>
      <c r="L14" s="145"/>
      <c r="M14" s="145"/>
      <c r="N14" s="145">
        <v>0.76561000000000001</v>
      </c>
      <c r="O14" s="145">
        <v>-4.2337199999999999</v>
      </c>
      <c r="P14" s="145"/>
      <c r="Q14" s="145">
        <v>-4.82897</v>
      </c>
      <c r="R14" s="145">
        <v>-4.7762200000000004</v>
      </c>
      <c r="S14" s="145">
        <v>-4.5397400000000001</v>
      </c>
      <c r="T14" s="145">
        <v>-3.16703</v>
      </c>
      <c r="U14" s="145">
        <v>-4.6296299999999997</v>
      </c>
      <c r="V14" s="145">
        <v>-4.0983599999999996</v>
      </c>
      <c r="W14" s="145">
        <v>-3.1410300000000002</v>
      </c>
      <c r="X14" s="145"/>
      <c r="Y14" s="145"/>
      <c r="Z14" s="145"/>
      <c r="AA14" s="145">
        <v>-4.3766906049414862</v>
      </c>
      <c r="AB14" s="145">
        <v>-3.6500000000293631</v>
      </c>
    </row>
    <row r="15" spans="1:28" x14ac:dyDescent="0.15">
      <c r="A15" s="147">
        <v>44500</v>
      </c>
      <c r="B15" s="145">
        <v>4.6809500000000002</v>
      </c>
      <c r="C15" s="145">
        <v>5.8613999999999997</v>
      </c>
      <c r="D15" s="145">
        <v>7.5048399999999997</v>
      </c>
      <c r="E15" s="145">
        <v>8.4532900000000009</v>
      </c>
      <c r="F15" s="145">
        <v>9.19</v>
      </c>
      <c r="G15" s="145">
        <v>8.6800107526015413</v>
      </c>
      <c r="H15" s="145">
        <v>5.2799999983445867</v>
      </c>
      <c r="I15" s="145">
        <v>2.7700000000095981</v>
      </c>
      <c r="J15" s="145">
        <v>4.1099999993407188</v>
      </c>
      <c r="K15" s="145">
        <v>5.2180900000000001</v>
      </c>
      <c r="L15" s="145"/>
      <c r="M15" s="145"/>
      <c r="N15" s="145">
        <v>2.9807100000000002</v>
      </c>
      <c r="O15" s="145">
        <v>5.2910599999999999</v>
      </c>
      <c r="P15" s="145"/>
      <c r="Q15" s="145">
        <v>5.5673000000000004</v>
      </c>
      <c r="R15" s="145">
        <v>7.0913300000000001</v>
      </c>
      <c r="S15" s="145">
        <v>6.7188499999999998</v>
      </c>
      <c r="T15" s="145">
        <v>3.0017900000000002</v>
      </c>
      <c r="U15" s="145">
        <v>7.0041599999999997</v>
      </c>
      <c r="V15" s="145">
        <v>1.8233600000000001</v>
      </c>
      <c r="W15" s="145">
        <v>4.1032400000000004</v>
      </c>
      <c r="X15" s="145"/>
      <c r="Y15" s="145"/>
      <c r="Z15" s="145"/>
      <c r="AA15" s="145">
        <v>5.0106111001801015</v>
      </c>
      <c r="AB15" s="145">
        <v>6.3900000009089686</v>
      </c>
    </row>
    <row r="16" spans="1:28" x14ac:dyDescent="0.15">
      <c r="A16" s="147">
        <v>44530</v>
      </c>
      <c r="B16" s="145">
        <v>-3.2286800000000002</v>
      </c>
      <c r="C16" s="145">
        <v>0.27334000000000003</v>
      </c>
      <c r="D16" s="145">
        <v>-2.1017899999999998</v>
      </c>
      <c r="E16" s="145">
        <v>-0.11296</v>
      </c>
      <c r="F16" s="145">
        <v>-1.2722599999999999</v>
      </c>
      <c r="G16" s="145">
        <v>-7.5300074478151906</v>
      </c>
      <c r="H16" s="145">
        <v>-1.8399999991782656</v>
      </c>
      <c r="I16" s="145">
        <v>-1.6100000000304981</v>
      </c>
      <c r="J16" s="145">
        <v>-4.2399999997467912</v>
      </c>
      <c r="K16" s="145">
        <v>-3.2553399999999999</v>
      </c>
      <c r="L16" s="145"/>
      <c r="M16" s="145"/>
      <c r="N16" s="145">
        <v>-1.92963</v>
      </c>
      <c r="O16" s="145">
        <v>-2.3558500000000002</v>
      </c>
      <c r="P16" s="145"/>
      <c r="Q16" s="145">
        <v>-1.8024</v>
      </c>
      <c r="R16" s="145">
        <v>-1.2332799999999999</v>
      </c>
      <c r="S16" s="145">
        <v>-1.4763299999999999</v>
      </c>
      <c r="T16" s="145">
        <v>-4.3875299999999999</v>
      </c>
      <c r="U16" s="145">
        <v>-4.0829599999999999</v>
      </c>
      <c r="V16" s="145">
        <v>-3.9171800000000001</v>
      </c>
      <c r="W16" s="145">
        <v>-5.2129700000000003</v>
      </c>
      <c r="X16" s="145"/>
      <c r="Y16" s="145"/>
      <c r="Z16" s="145"/>
      <c r="AA16" s="145">
        <v>-5.5386015080642554</v>
      </c>
      <c r="AB16" s="145">
        <v>-3.8500000027754777</v>
      </c>
    </row>
    <row r="17" spans="1:28" x14ac:dyDescent="0.15">
      <c r="A17" s="147">
        <v>44561</v>
      </c>
      <c r="B17" s="145">
        <v>4.6201499999999998</v>
      </c>
      <c r="C17" s="145">
        <v>4.3724999999999996</v>
      </c>
      <c r="D17" s="145">
        <v>3.8023400000000001</v>
      </c>
      <c r="E17" s="145">
        <v>2.76241</v>
      </c>
      <c r="F17" s="145">
        <v>1.10745</v>
      </c>
      <c r="G17" s="145">
        <v>-5.0399820685580803</v>
      </c>
      <c r="H17" s="145">
        <v>7.4900000000084788</v>
      </c>
      <c r="I17" s="145">
        <v>4.8500000003120158</v>
      </c>
      <c r="J17" s="145">
        <v>4.1799999998946236</v>
      </c>
      <c r="K17" s="145">
        <v>6.6057300000000003</v>
      </c>
      <c r="L17" s="145"/>
      <c r="M17" s="145"/>
      <c r="N17" s="145">
        <v>-3.3121999999999998</v>
      </c>
      <c r="O17" s="145">
        <v>3.9206400000000001</v>
      </c>
      <c r="P17" s="145"/>
      <c r="Q17" s="145">
        <v>3.0981999999999998</v>
      </c>
      <c r="R17" s="145">
        <v>3.9143699999999999</v>
      </c>
      <c r="S17" s="145">
        <v>3.81427</v>
      </c>
      <c r="T17" s="145">
        <v>6.0560600000000004</v>
      </c>
      <c r="U17" s="145">
        <v>2.3319999999999999</v>
      </c>
      <c r="V17" s="145">
        <v>2.0547</v>
      </c>
      <c r="W17" s="145">
        <v>5.5741500000000004</v>
      </c>
      <c r="X17" s="145"/>
      <c r="Y17" s="145"/>
      <c r="Z17" s="145"/>
      <c r="AA17" s="145">
        <v>1.2104124016234417</v>
      </c>
      <c r="AB17" s="145">
        <v>5.2700000000998948</v>
      </c>
    </row>
    <row r="18" spans="1:28" x14ac:dyDescent="0.15">
      <c r="A18" s="147">
        <v>44592</v>
      </c>
      <c r="B18" s="145">
        <v>-5.40787</v>
      </c>
      <c r="C18" s="145">
        <v>-5.0196699999999996</v>
      </c>
      <c r="D18" s="145">
        <v>-6.1381899999999998</v>
      </c>
      <c r="E18" s="145">
        <v>-5.1029</v>
      </c>
      <c r="F18" s="145">
        <v>-12.6648</v>
      </c>
      <c r="G18" s="145">
        <v>-12.680003463994915</v>
      </c>
      <c r="H18" s="145">
        <v>-8.7700000018386177</v>
      </c>
      <c r="I18" s="145">
        <v>-2.7900000000317449</v>
      </c>
      <c r="J18" s="145">
        <v>-6.6399999993663972</v>
      </c>
      <c r="K18" s="145">
        <v>-2.3941499999999998</v>
      </c>
      <c r="L18" s="145"/>
      <c r="M18" s="145"/>
      <c r="N18" s="145">
        <v>-5.0715199999999996</v>
      </c>
      <c r="O18" s="145">
        <v>-4.4745100000000004</v>
      </c>
      <c r="P18" s="145"/>
      <c r="Q18" s="145">
        <v>-9.1333300000000008</v>
      </c>
      <c r="R18" s="145">
        <v>-5.9423399999999997</v>
      </c>
      <c r="S18" s="145">
        <v>-5.9900900000000004</v>
      </c>
      <c r="T18" s="145">
        <v>-0.47192000000000001</v>
      </c>
      <c r="U18" s="145">
        <v>0</v>
      </c>
      <c r="V18" s="145">
        <v>-0.71174000000000004</v>
      </c>
      <c r="W18" s="145">
        <v>-2.09287</v>
      </c>
      <c r="X18" s="145"/>
      <c r="Y18" s="145"/>
      <c r="Z18" s="145"/>
      <c r="AA18" s="145">
        <v>-7.5130096236806416</v>
      </c>
      <c r="AB18" s="145">
        <v>1.4100000019392933</v>
      </c>
    </row>
    <row r="19" spans="1:28" x14ac:dyDescent="0.15">
      <c r="A19" s="147">
        <v>44620</v>
      </c>
      <c r="B19" s="145">
        <v>-2.0574599999999998</v>
      </c>
      <c r="C19" s="145">
        <v>-3.89331</v>
      </c>
      <c r="D19" s="145">
        <v>-3.7463000000000002</v>
      </c>
      <c r="E19" s="145">
        <v>-4.0998200000000002</v>
      </c>
      <c r="F19" s="145">
        <v>-3.6825299999999999</v>
      </c>
      <c r="G19" s="145">
        <v>0.46999069828723705</v>
      </c>
      <c r="H19" s="145">
        <v>-4.3999999982926479</v>
      </c>
      <c r="I19" s="145">
        <v>-4.700000000007531</v>
      </c>
      <c r="J19" s="145">
        <v>-1.3600000002787493</v>
      </c>
      <c r="K19" s="145">
        <v>-4.5184600000000001</v>
      </c>
      <c r="L19" s="145"/>
      <c r="M19" s="145"/>
      <c r="N19" s="145">
        <v>-4.3150700000000004</v>
      </c>
      <c r="O19" s="145">
        <v>-3.13022</v>
      </c>
      <c r="P19" s="145"/>
      <c r="Q19" s="145">
        <v>-2.5678700000000001</v>
      </c>
      <c r="R19" s="145">
        <v>-3.1844100000000002</v>
      </c>
      <c r="S19" s="145">
        <v>-2.5098199999999999</v>
      </c>
      <c r="T19" s="145">
        <v>-2.63158</v>
      </c>
      <c r="U19" s="145">
        <v>-0.80537000000000003</v>
      </c>
      <c r="V19" s="145">
        <v>-7.4074099999999996</v>
      </c>
      <c r="W19" s="145">
        <v>-2.8724099999999999</v>
      </c>
      <c r="X19" s="145"/>
      <c r="Y19" s="145"/>
      <c r="Z19" s="145"/>
      <c r="AA19" s="145">
        <v>-2.5506580601673883</v>
      </c>
      <c r="AB19" s="145">
        <v>2.6400000002837043</v>
      </c>
    </row>
    <row r="20" spans="1:28" x14ac:dyDescent="0.15">
      <c r="A20" s="147">
        <v>44651</v>
      </c>
      <c r="B20" s="145">
        <v>0.47265000000000001</v>
      </c>
      <c r="C20" s="145">
        <v>3.3092600000000001</v>
      </c>
      <c r="D20" s="145">
        <v>0.46090999999999999</v>
      </c>
      <c r="E20" s="145">
        <v>3.8178800000000002</v>
      </c>
      <c r="F20" s="145">
        <v>3.63334</v>
      </c>
      <c r="G20" s="145">
        <v>5.1799950181047993</v>
      </c>
      <c r="H20" s="145">
        <v>0.68000000036683161</v>
      </c>
      <c r="I20" s="145">
        <v>-3.6900000004889133</v>
      </c>
      <c r="J20" s="145">
        <v>-1.6599999997496173</v>
      </c>
      <c r="K20" s="145">
        <v>1.1933499999999999</v>
      </c>
      <c r="L20" s="145">
        <v>3.532</v>
      </c>
      <c r="M20" s="145"/>
      <c r="N20" s="145">
        <v>-3.7222599999999999</v>
      </c>
      <c r="O20" s="145">
        <v>1.9590399999999999</v>
      </c>
      <c r="P20" s="145"/>
      <c r="Q20" s="145">
        <v>1.5060199999999999</v>
      </c>
      <c r="R20" s="145">
        <v>3.3648600000000002</v>
      </c>
      <c r="S20" s="145">
        <v>3.2316099999999999</v>
      </c>
      <c r="T20" s="145">
        <v>7.3050000000000004E-2</v>
      </c>
      <c r="U20" s="145">
        <v>3.5859299999999998</v>
      </c>
      <c r="V20" s="145">
        <v>0.12903000000000001</v>
      </c>
      <c r="W20" s="145">
        <v>1.5130699999999999</v>
      </c>
      <c r="X20" s="145"/>
      <c r="Y20" s="145"/>
      <c r="Z20" s="145"/>
      <c r="AA20" s="145">
        <v>1.4850322568501884E-2</v>
      </c>
      <c r="AB20" s="145">
        <v>7.439999997494473</v>
      </c>
    </row>
    <row r="21" spans="1:28" x14ac:dyDescent="0.15">
      <c r="A21" s="147">
        <v>44681</v>
      </c>
      <c r="B21" s="145">
        <v>-7.7573299999999996</v>
      </c>
      <c r="C21" s="145">
        <v>-8.2011000000000003</v>
      </c>
      <c r="D21" s="145">
        <v>-7.7994899999999996</v>
      </c>
      <c r="E21" s="145">
        <v>-9.3030200000000001</v>
      </c>
      <c r="F21" s="145">
        <v>-12.94684</v>
      </c>
      <c r="G21" s="145">
        <v>-13.639988887081911</v>
      </c>
      <c r="H21" s="145">
        <v>-5.9999999988014308</v>
      </c>
      <c r="I21" s="145">
        <v>-6.5901209697483587</v>
      </c>
      <c r="J21" s="145">
        <v>-11.789999999956468</v>
      </c>
      <c r="K21" s="145">
        <v>-5.5331700000000001</v>
      </c>
      <c r="L21" s="145">
        <v>-10.093730000000001</v>
      </c>
      <c r="M21" s="145"/>
      <c r="N21" s="145">
        <v>-3.7174700000000001</v>
      </c>
      <c r="O21" s="145">
        <v>-7.9921300000000004</v>
      </c>
      <c r="P21" s="145"/>
      <c r="Q21" s="145">
        <v>-9.4955499999999997</v>
      </c>
      <c r="R21" s="145">
        <v>-9.0729900000000008</v>
      </c>
      <c r="S21" s="145">
        <v>-9.0163200000000003</v>
      </c>
      <c r="T21" s="145">
        <v>-4.2579099999999999</v>
      </c>
      <c r="U21" s="145">
        <v>-2.61267</v>
      </c>
      <c r="V21" s="145">
        <v>-6.12113</v>
      </c>
      <c r="W21" s="145">
        <v>-7.4525699999999997</v>
      </c>
      <c r="X21" s="145"/>
      <c r="Y21" s="145"/>
      <c r="Z21" s="145">
        <v>-7.15</v>
      </c>
      <c r="AA21" s="145">
        <v>-9.8245033557125652</v>
      </c>
      <c r="AB21" s="145">
        <v>-4.1899999996766297</v>
      </c>
    </row>
    <row r="22" spans="1:28" x14ac:dyDescent="0.15">
      <c r="A22" s="147">
        <v>44712</v>
      </c>
      <c r="B22" s="145">
        <v>0.42627999999999999</v>
      </c>
      <c r="C22" s="145">
        <v>-1.16448</v>
      </c>
      <c r="D22" s="145">
        <v>-0.44230999999999998</v>
      </c>
      <c r="E22" s="145">
        <v>-0.36280000000000001</v>
      </c>
      <c r="F22" s="145">
        <v>0.52644999999999997</v>
      </c>
      <c r="G22" s="145">
        <v>0.72999172594965245</v>
      </c>
      <c r="H22" s="145">
        <v>-2.1600000026062438</v>
      </c>
      <c r="I22" s="145">
        <v>3.6400000002263067</v>
      </c>
      <c r="J22" s="145">
        <v>-1.3699999999890577</v>
      </c>
      <c r="K22" s="145">
        <v>1.90503</v>
      </c>
      <c r="L22" s="145">
        <v>-1.1406499999999999</v>
      </c>
      <c r="M22" s="145"/>
      <c r="N22" s="145">
        <v>4.0154399999999999</v>
      </c>
      <c r="O22" s="145">
        <v>0.49070000000000003</v>
      </c>
      <c r="P22" s="145"/>
      <c r="Q22" s="145">
        <v>-0.24590000000000001</v>
      </c>
      <c r="R22" s="145">
        <v>-0.11222</v>
      </c>
      <c r="S22" s="145">
        <v>-0.19531000000000001</v>
      </c>
      <c r="T22" s="145">
        <v>2.13469</v>
      </c>
      <c r="U22" s="145">
        <v>3.6217299999999999</v>
      </c>
      <c r="V22" s="145">
        <v>3.2944399999999998</v>
      </c>
      <c r="W22" s="145">
        <v>1.0248900000000001</v>
      </c>
      <c r="X22" s="145"/>
      <c r="Y22" s="145"/>
      <c r="Z22" s="145">
        <v>0.28000000000001357</v>
      </c>
      <c r="AA22" s="145">
        <v>-2.1924695916203225</v>
      </c>
      <c r="AB22" s="145">
        <v>4.8500000025281542</v>
      </c>
    </row>
    <row r="23" spans="1:28" x14ac:dyDescent="0.15">
      <c r="A23" s="147">
        <v>44742</v>
      </c>
      <c r="B23" s="145">
        <v>-8.3698899999999998</v>
      </c>
      <c r="C23" s="145">
        <v>-6.6338400000000002</v>
      </c>
      <c r="D23" s="145">
        <v>-7.4231800000000003</v>
      </c>
      <c r="E23" s="145">
        <v>-8.2246600000000001</v>
      </c>
      <c r="F23" s="145">
        <v>-7.2532100000000002</v>
      </c>
      <c r="G23" s="145">
        <v>-5.7929724596391559</v>
      </c>
      <c r="H23" s="145">
        <v>-5.0700000000566847</v>
      </c>
      <c r="I23" s="145">
        <v>-11.310000000093567</v>
      </c>
      <c r="J23" s="145">
        <v>-10.999999999927045</v>
      </c>
      <c r="K23" s="145">
        <v>-7.7846000000000002</v>
      </c>
      <c r="L23" s="145">
        <v>-7.3436000000000003</v>
      </c>
      <c r="M23" s="145"/>
      <c r="N23" s="145">
        <v>0.74238999999999999</v>
      </c>
      <c r="O23" s="145">
        <v>-8.2445199999999996</v>
      </c>
      <c r="P23" s="145"/>
      <c r="Q23" s="145">
        <v>-8.9564500000000002</v>
      </c>
      <c r="R23" s="145">
        <v>-8.3852899999999995</v>
      </c>
      <c r="S23" s="145">
        <v>-8.4053400000000007</v>
      </c>
      <c r="T23" s="145">
        <v>-8.3851700000000005</v>
      </c>
      <c r="U23" s="145">
        <v>-8.5436899999999998</v>
      </c>
      <c r="V23" s="145">
        <v>-7.7740900000000002</v>
      </c>
      <c r="W23" s="145">
        <v>-7.9710099999999997</v>
      </c>
      <c r="X23" s="145"/>
      <c r="Y23" s="145"/>
      <c r="Z23" s="145">
        <v>-9.8600000021480056</v>
      </c>
      <c r="AA23" s="145">
        <v>-5.2479546714382614</v>
      </c>
      <c r="AB23" s="145">
        <v>-7.1600000018471555</v>
      </c>
    </row>
    <row r="24" spans="1:28" x14ac:dyDescent="0.15">
      <c r="A24" s="147">
        <v>44773</v>
      </c>
      <c r="B24" s="145">
        <v>6.8179699999999999</v>
      </c>
      <c r="C24" s="145">
        <v>7.9581400000000002</v>
      </c>
      <c r="D24" s="145">
        <v>9.6180800000000009</v>
      </c>
      <c r="E24" s="145">
        <v>9.00868</v>
      </c>
      <c r="F24" s="145">
        <v>12.98701</v>
      </c>
      <c r="G24" s="145">
        <v>8.3669354838709289</v>
      </c>
      <c r="H24" s="145">
        <v>6.9100000023399666</v>
      </c>
      <c r="I24" s="145">
        <v>10.789999999531208</v>
      </c>
      <c r="J24" s="145">
        <v>8.7299999996675481</v>
      </c>
      <c r="K24" s="145">
        <v>7.0801800000000004</v>
      </c>
      <c r="L24" s="145">
        <v>10.55228</v>
      </c>
      <c r="M24" s="145"/>
      <c r="N24" s="145">
        <v>-0.29476999999999998</v>
      </c>
      <c r="O24" s="145">
        <v>6.9676600000000004</v>
      </c>
      <c r="P24" s="145"/>
      <c r="Q24" s="145">
        <v>10.740069999999999</v>
      </c>
      <c r="R24" s="145">
        <v>9.3958999999999993</v>
      </c>
      <c r="S24" s="145">
        <v>9.3845700000000001</v>
      </c>
      <c r="T24" s="145">
        <v>3.66649</v>
      </c>
      <c r="U24" s="145">
        <v>2.5477699999999999</v>
      </c>
      <c r="V24" s="145">
        <v>0.79251000000000005</v>
      </c>
      <c r="W24" s="145">
        <v>5.9842500000000003</v>
      </c>
      <c r="X24" s="145"/>
      <c r="Y24" s="145"/>
      <c r="Z24" s="145">
        <v>9.3199999971356853</v>
      </c>
      <c r="AA24" s="145">
        <v>7.8140521759151742</v>
      </c>
      <c r="AB24" s="145">
        <v>8.0099999993483948</v>
      </c>
    </row>
    <row r="25" spans="1:28" x14ac:dyDescent="0.15">
      <c r="A25" s="147">
        <v>44804</v>
      </c>
      <c r="B25" s="145">
        <v>-3.7732600000000001</v>
      </c>
      <c r="C25" s="145">
        <v>-4.2619400000000001</v>
      </c>
      <c r="D25" s="145">
        <v>-4.2502700000000004</v>
      </c>
      <c r="E25" s="145">
        <v>-4.5801499999999997</v>
      </c>
      <c r="F25" s="145">
        <v>-6.24688</v>
      </c>
      <c r="G25" s="145">
        <v>-4.9302325581395241</v>
      </c>
      <c r="H25" s="145">
        <v>-6.2600000030163194</v>
      </c>
      <c r="I25" s="145">
        <v>-4.2099999998837179</v>
      </c>
      <c r="J25" s="145">
        <v>-5.8300000005009789</v>
      </c>
      <c r="K25" s="145">
        <v>-6.0186500000000001</v>
      </c>
      <c r="L25" s="145">
        <v>-5.1470900000000004</v>
      </c>
      <c r="M25" s="145"/>
      <c r="N25" s="145">
        <v>-1.3303799999999999</v>
      </c>
      <c r="O25" s="145">
        <v>-4.0506399999999996</v>
      </c>
      <c r="P25" s="145"/>
      <c r="Q25" s="145">
        <v>-5.9494699999999998</v>
      </c>
      <c r="R25" s="145">
        <v>-4.0504899999999999</v>
      </c>
      <c r="S25" s="145">
        <v>-3.77461</v>
      </c>
      <c r="T25" s="145">
        <v>-5.6064999999999996</v>
      </c>
      <c r="U25" s="145">
        <v>-4.0027600000000003</v>
      </c>
      <c r="V25" s="145">
        <v>-1.00071</v>
      </c>
      <c r="W25" s="145">
        <v>-5.72065</v>
      </c>
      <c r="X25" s="145"/>
      <c r="Y25" s="145"/>
      <c r="Z25" s="145">
        <v>-3.3499999916295709</v>
      </c>
      <c r="AA25" s="145">
        <v>-2.9917569351721562</v>
      </c>
      <c r="AB25" s="145">
        <v>0.6000000011527673</v>
      </c>
    </row>
    <row r="26" spans="1:28" x14ac:dyDescent="0.15">
      <c r="A26" s="147">
        <v>44834</v>
      </c>
      <c r="B26" s="145">
        <v>-8.8500200000000007</v>
      </c>
      <c r="C26" s="145">
        <v>-9.9065700000000003</v>
      </c>
      <c r="D26" s="145">
        <v>-7.7157600000000004</v>
      </c>
      <c r="E26" s="145">
        <v>-9.5903299999999998</v>
      </c>
      <c r="F26" s="145">
        <v>-10.261189999999999</v>
      </c>
      <c r="G26" s="145">
        <v>-9.0019569471624159</v>
      </c>
      <c r="H26" s="145">
        <v>-8.8800000005698436</v>
      </c>
      <c r="I26" s="145">
        <v>-10.149999999709314</v>
      </c>
      <c r="J26" s="145">
        <v>-10.070000000489898</v>
      </c>
      <c r="K26" s="145">
        <v>-8.47865</v>
      </c>
      <c r="L26" s="145">
        <v>-9.1483799999999995</v>
      </c>
      <c r="M26" s="145"/>
      <c r="N26" s="145">
        <v>-11.760300000000001</v>
      </c>
      <c r="O26" s="145">
        <v>-9.5500699999999998</v>
      </c>
      <c r="P26" s="145"/>
      <c r="Q26" s="145">
        <v>-9.9653399999999994</v>
      </c>
      <c r="R26" s="145">
        <v>-9.4564400000000006</v>
      </c>
      <c r="S26" s="145">
        <v>-9.3275299999999994</v>
      </c>
      <c r="T26" s="145">
        <v>-7.8808400000000001</v>
      </c>
      <c r="U26" s="145">
        <v>-8.9144500000000004</v>
      </c>
      <c r="V26" s="145">
        <v>-6.6425999999999998</v>
      </c>
      <c r="W26" s="145">
        <v>-10.086679999999999</v>
      </c>
      <c r="X26" s="145"/>
      <c r="Y26" s="145"/>
      <c r="Z26" s="145">
        <v>-7.4400000077764599</v>
      </c>
      <c r="AA26" s="145">
        <v>-8.9295465644393985</v>
      </c>
      <c r="AB26" s="145">
        <v>-9.1200000013586191</v>
      </c>
    </row>
    <row r="27" spans="1:28" x14ac:dyDescent="0.15">
      <c r="A27" s="147">
        <v>44865</v>
      </c>
      <c r="B27" s="145">
        <v>7.39602</v>
      </c>
      <c r="C27" s="145">
        <v>7.8868999999999998</v>
      </c>
      <c r="D27" s="145">
        <v>8.5466599999999993</v>
      </c>
      <c r="E27" s="145">
        <v>7.0656400000000001</v>
      </c>
      <c r="F27" s="145">
        <v>3.0888</v>
      </c>
      <c r="G27" s="145">
        <v>4.3010752688172227</v>
      </c>
      <c r="H27" s="145">
        <v>6.6499999999549031</v>
      </c>
      <c r="I27" s="145">
        <v>5.7200000001732754</v>
      </c>
      <c r="J27" s="145">
        <v>4.5600000006408958</v>
      </c>
      <c r="K27" s="145">
        <v>6.5045999999999999</v>
      </c>
      <c r="L27" s="145">
        <v>6.3155200000000002</v>
      </c>
      <c r="M27" s="145"/>
      <c r="N27" s="145">
        <v>-2.5466899999999999</v>
      </c>
      <c r="O27" s="145">
        <v>6.1812899999999997</v>
      </c>
      <c r="P27" s="145"/>
      <c r="Q27" s="145">
        <v>5.7747799999999998</v>
      </c>
      <c r="R27" s="145">
        <v>8.0128000000000004</v>
      </c>
      <c r="S27" s="145">
        <v>8.1510200000000008</v>
      </c>
      <c r="T27" s="145">
        <v>6.5980600000000003</v>
      </c>
      <c r="U27" s="145">
        <v>10.970800000000001</v>
      </c>
      <c r="V27" s="145">
        <v>1.85615</v>
      </c>
      <c r="W27" s="145">
        <v>5.7843999999999998</v>
      </c>
      <c r="X27" s="145"/>
      <c r="Y27" s="145"/>
      <c r="Z27" s="145">
        <v>12.160000000214421</v>
      </c>
      <c r="AA27" s="145">
        <v>6.1955504177027851</v>
      </c>
      <c r="AB27" s="145">
        <v>6.9300000003585494</v>
      </c>
    </row>
    <row r="28" spans="1:28" x14ac:dyDescent="0.15">
      <c r="A28" s="147">
        <v>44895</v>
      </c>
      <c r="B28" s="145">
        <v>7.3539700000000003</v>
      </c>
      <c r="C28" s="145">
        <v>7.5146100000000002</v>
      </c>
      <c r="D28" s="145">
        <v>6.2381099999999998</v>
      </c>
      <c r="E28" s="145">
        <v>5.7699199999999999</v>
      </c>
      <c r="F28" s="145">
        <v>5.9348900000000002</v>
      </c>
      <c r="G28" s="145">
        <v>9.278350515463929</v>
      </c>
      <c r="H28" s="145">
        <v>8.1100000028121464</v>
      </c>
      <c r="I28" s="145">
        <v>4.6399999995901275</v>
      </c>
      <c r="J28" s="145">
        <v>10.119999999678541</v>
      </c>
      <c r="K28" s="145">
        <v>11.28933</v>
      </c>
      <c r="L28" s="145">
        <v>5.3336899999999998</v>
      </c>
      <c r="M28" s="145"/>
      <c r="N28" s="145">
        <v>18.989550000000001</v>
      </c>
      <c r="O28" s="145">
        <v>8.5099800000000005</v>
      </c>
      <c r="P28" s="145">
        <v>2.5323243599999934</v>
      </c>
      <c r="Q28" s="145">
        <v>8.6442200000000007</v>
      </c>
      <c r="R28" s="145">
        <v>5.6113</v>
      </c>
      <c r="S28" s="145">
        <v>5.27942</v>
      </c>
      <c r="T28" s="145">
        <v>12.30682</v>
      </c>
      <c r="U28" s="145">
        <v>4.1962999999999999</v>
      </c>
      <c r="V28" s="145">
        <v>5.3151099999999998</v>
      </c>
      <c r="W28" s="145">
        <v>12.67606</v>
      </c>
      <c r="X28" s="145"/>
      <c r="Y28" s="145"/>
      <c r="Z28" s="145">
        <v>3.3700000086355653</v>
      </c>
      <c r="AA28" s="145">
        <v>6.0456176038757539</v>
      </c>
      <c r="AB28" s="145">
        <v>4.4899999999504114</v>
      </c>
    </row>
    <row r="29" spans="1:28" x14ac:dyDescent="0.15">
      <c r="A29" s="147">
        <v>44926</v>
      </c>
      <c r="B29" s="145">
        <v>-2.9656199999999999</v>
      </c>
      <c r="C29" s="145">
        <v>-5.4821299999999997</v>
      </c>
      <c r="D29" s="145">
        <v>-4.9322600000000003</v>
      </c>
      <c r="E29" s="145">
        <v>-6.8088899999999999</v>
      </c>
      <c r="F29" s="145">
        <v>-5.9284699999999999</v>
      </c>
      <c r="G29" s="145">
        <v>-7.316226415094329</v>
      </c>
      <c r="H29" s="145">
        <v>-1.4100000009798608</v>
      </c>
      <c r="I29" s="145">
        <v>-3.319999999599399</v>
      </c>
      <c r="J29" s="145">
        <v>-3.0299999990383131</v>
      </c>
      <c r="K29" s="145">
        <v>-2.3380899999999998</v>
      </c>
      <c r="L29" s="145">
        <v>-6.4885700000000002</v>
      </c>
      <c r="M29" s="145"/>
      <c r="N29" s="145">
        <v>-3.5280900000000002</v>
      </c>
      <c r="O29" s="145">
        <v>-4.5343900000000001</v>
      </c>
      <c r="P29" s="145">
        <v>-3.6786325517764729</v>
      </c>
      <c r="Q29" s="145">
        <v>-4.8086799999999998</v>
      </c>
      <c r="R29" s="145">
        <v>-6.0411299999999999</v>
      </c>
      <c r="S29" s="145">
        <v>-5.8765499999999999</v>
      </c>
      <c r="T29" s="145">
        <v>-0.59248000000000001</v>
      </c>
      <c r="U29" s="145">
        <v>-2.00589</v>
      </c>
      <c r="V29" s="145">
        <v>-3.8218000000000001</v>
      </c>
      <c r="W29" s="145">
        <v>-2.4715500000000001</v>
      </c>
      <c r="X29" s="145"/>
      <c r="Y29" s="145">
        <v>-3.95356</v>
      </c>
      <c r="Z29" s="145">
        <v>-5.3600000070531113</v>
      </c>
      <c r="AA29" s="145">
        <v>-3.9877525341902897</v>
      </c>
      <c r="AB29" s="145">
        <v>-3.9799999989328261</v>
      </c>
    </row>
    <row r="30" spans="1:28" x14ac:dyDescent="0.15">
      <c r="A30" s="147">
        <v>44957</v>
      </c>
      <c r="B30" s="145">
        <v>7.6997600000000004</v>
      </c>
      <c r="C30" s="145">
        <v>5.5071199999999996</v>
      </c>
      <c r="D30" s="145">
        <v>5.3242599999999998</v>
      </c>
      <c r="E30" s="145">
        <v>6.8121900000000002</v>
      </c>
      <c r="F30" s="145">
        <v>9.7426999999999992</v>
      </c>
      <c r="G30" s="145">
        <v>8.265272055111339</v>
      </c>
      <c r="H30" s="145">
        <v>3.0600000011082651</v>
      </c>
      <c r="I30" s="145">
        <v>12.669999999479241</v>
      </c>
      <c r="J30" s="145">
        <v>10.209999999547993</v>
      </c>
      <c r="K30" s="145">
        <v>6.86869</v>
      </c>
      <c r="L30" s="145">
        <v>7.4819199999999997</v>
      </c>
      <c r="M30" s="145"/>
      <c r="N30" s="145">
        <v>5.9951999999999996</v>
      </c>
      <c r="O30" s="145">
        <v>7.38476</v>
      </c>
      <c r="P30" s="145">
        <v>10.685254658634813</v>
      </c>
      <c r="Q30" s="145">
        <v>9.1150400000000005</v>
      </c>
      <c r="R30" s="145">
        <v>6.4676900000000002</v>
      </c>
      <c r="S30" s="145">
        <v>6.9775700000000001</v>
      </c>
      <c r="T30" s="145">
        <v>9.1733600000000006</v>
      </c>
      <c r="U30" s="145">
        <v>0.78910000000000002</v>
      </c>
      <c r="V30" s="145">
        <v>4.9089499999999999</v>
      </c>
      <c r="W30" s="145">
        <v>6.25943</v>
      </c>
      <c r="X30" s="145"/>
      <c r="Y30" s="145">
        <v>3.6683400000000002</v>
      </c>
      <c r="Z30" s="145">
        <v>7.3900000023661372</v>
      </c>
      <c r="AA30" s="145">
        <v>7.678606260423269</v>
      </c>
      <c r="AB30" s="145">
        <v>2.8199999986800561</v>
      </c>
    </row>
    <row r="31" spans="1:28" x14ac:dyDescent="0.15">
      <c r="A31" s="147">
        <v>44985</v>
      </c>
      <c r="B31" s="145">
        <v>-2.3864299999999998</v>
      </c>
      <c r="C31" s="145">
        <v>-2.55945</v>
      </c>
      <c r="D31" s="145">
        <v>-3.3257300000000001</v>
      </c>
      <c r="E31" s="145">
        <v>-1.44468</v>
      </c>
      <c r="F31" s="145">
        <v>-1.6333</v>
      </c>
      <c r="G31" s="145">
        <v>-3.0160297090208621</v>
      </c>
      <c r="H31" s="145">
        <v>-2.499999997593938</v>
      </c>
      <c r="I31" s="145">
        <v>1.8600000002034101</v>
      </c>
      <c r="J31" s="145">
        <v>-2.500000000723368</v>
      </c>
      <c r="K31" s="145">
        <v>-3.2136100000000001</v>
      </c>
      <c r="L31" s="145">
        <v>-2.09293</v>
      </c>
      <c r="M31" s="145"/>
      <c r="N31" s="145">
        <v>-6.8627500000000001</v>
      </c>
      <c r="O31" s="145">
        <v>-3.1596199999999999</v>
      </c>
      <c r="P31" s="145">
        <v>-3.2637681145361475</v>
      </c>
      <c r="Q31" s="145">
        <v>-2.5141900000000001</v>
      </c>
      <c r="R31" s="145">
        <v>-2.5615700000000001</v>
      </c>
      <c r="S31" s="145">
        <v>-2.3163999999999998</v>
      </c>
      <c r="T31" s="145">
        <v>-2.5397599999999998</v>
      </c>
      <c r="U31" s="145">
        <v>-3.6298900000000001</v>
      </c>
      <c r="V31" s="145">
        <v>-4</v>
      </c>
      <c r="W31" s="145">
        <v>-3.8325100000000001</v>
      </c>
      <c r="X31" s="145"/>
      <c r="Y31" s="145">
        <v>-1.93892</v>
      </c>
      <c r="Z31" s="145">
        <v>-4.6700000003432667</v>
      </c>
      <c r="AA31" s="145">
        <v>-2.0887407081390261</v>
      </c>
      <c r="AB31" s="145">
        <v>-3.6799999975708708</v>
      </c>
    </row>
    <row r="32" spans="1:28" x14ac:dyDescent="0.15">
      <c r="A32" s="147">
        <v>45016</v>
      </c>
      <c r="B32" s="145">
        <v>-0.12038</v>
      </c>
      <c r="C32" s="145">
        <v>4.6612200000000001</v>
      </c>
      <c r="D32" s="145">
        <v>3.51877</v>
      </c>
      <c r="E32" s="145">
        <v>4.1494600000000004</v>
      </c>
      <c r="F32" s="145">
        <v>5.9989299999999997</v>
      </c>
      <c r="G32" s="145">
        <v>2.429500664036377</v>
      </c>
      <c r="H32" s="145">
        <v>5.7999999967886406</v>
      </c>
      <c r="I32" s="145">
        <v>0.19000000001792028</v>
      </c>
      <c r="J32" s="145">
        <v>1.340000000686703</v>
      </c>
      <c r="K32" s="145">
        <v>3.3490099999999998</v>
      </c>
      <c r="L32" s="145">
        <v>4.2270300000000001</v>
      </c>
      <c r="M32" s="145"/>
      <c r="N32" s="145">
        <v>2.6720600000000001</v>
      </c>
      <c r="O32" s="145">
        <v>3.2870699999999999</v>
      </c>
      <c r="P32" s="145">
        <v>2.3284350589415359</v>
      </c>
      <c r="Q32" s="145">
        <v>3.8269600000000001</v>
      </c>
      <c r="R32" s="145">
        <v>3.4129499999999999</v>
      </c>
      <c r="S32" s="145">
        <v>2.6326999999999998</v>
      </c>
      <c r="T32" s="145">
        <v>3.5557699999999999</v>
      </c>
      <c r="U32" s="145">
        <v>0.44313000000000002</v>
      </c>
      <c r="V32" s="145">
        <v>2.4371100000000001</v>
      </c>
      <c r="W32" s="145">
        <v>3.6900400000000002</v>
      </c>
      <c r="X32" s="145"/>
      <c r="Y32" s="145">
        <v>-1.05891</v>
      </c>
      <c r="Z32" s="145">
        <v>0.90000000379601985</v>
      </c>
      <c r="AA32" s="145">
        <v>3.7410495236714043</v>
      </c>
      <c r="AB32" s="145">
        <v>1.4199999985528011</v>
      </c>
    </row>
    <row r="33" spans="1:28" x14ac:dyDescent="0.15">
      <c r="A33" s="147">
        <v>45046</v>
      </c>
      <c r="B33" s="145">
        <v>0.30387999999999998</v>
      </c>
      <c r="C33" s="145">
        <v>1.5640499999999999</v>
      </c>
      <c r="D33" s="145">
        <v>0.98746999999999996</v>
      </c>
      <c r="E33" s="145">
        <v>0.68918000000000001</v>
      </c>
      <c r="F33" s="145">
        <v>-0.78322000000000003</v>
      </c>
      <c r="G33" s="145">
        <v>-2.4668001726239397</v>
      </c>
      <c r="H33" s="145">
        <v>3.9700000024077253</v>
      </c>
      <c r="I33" s="145">
        <v>0.45000000015578134</v>
      </c>
      <c r="J33" s="145">
        <v>-1.6000000003865478</v>
      </c>
      <c r="K33" s="145">
        <v>1.7577100000000001</v>
      </c>
      <c r="L33" s="145">
        <v>1.13873</v>
      </c>
      <c r="M33" s="145"/>
      <c r="N33" s="145">
        <v>2.2082000000000002</v>
      </c>
      <c r="O33" s="145">
        <v>1.46994</v>
      </c>
      <c r="P33" s="145">
        <v>0.54577252874552507</v>
      </c>
      <c r="Q33" s="145">
        <v>-0.72114999999999996</v>
      </c>
      <c r="R33" s="145">
        <v>1.1849700000000001</v>
      </c>
      <c r="S33" s="145">
        <v>1.00478</v>
      </c>
      <c r="T33" s="145">
        <v>2.0696099999999999</v>
      </c>
      <c r="U33" s="145">
        <v>3.8970600000000002</v>
      </c>
      <c r="V33" s="145">
        <v>3.6838099999999998</v>
      </c>
      <c r="W33" s="145">
        <v>1.7081900000000001</v>
      </c>
      <c r="X33" s="145"/>
      <c r="Y33" s="145">
        <v>2.8729800000000001</v>
      </c>
      <c r="Z33" s="145">
        <v>-0.26000000459414085</v>
      </c>
      <c r="AA33" s="145">
        <v>1.9367054991922832</v>
      </c>
      <c r="AB33" s="145">
        <v>1.4600000007020553</v>
      </c>
    </row>
    <row r="34" spans="1:28" x14ac:dyDescent="0.15">
      <c r="A34" s="147">
        <v>45077</v>
      </c>
      <c r="B34" s="145">
        <v>-2.4690599999999998</v>
      </c>
      <c r="C34" s="145">
        <v>5.8479999999999997E-2</v>
      </c>
      <c r="D34" s="145">
        <v>-1.65476</v>
      </c>
      <c r="E34" s="145">
        <v>2.3614000000000002</v>
      </c>
      <c r="F34" s="145">
        <v>3.9725000000000001</v>
      </c>
      <c r="G34" s="145">
        <v>-2.3346371463475624</v>
      </c>
      <c r="H34" s="145">
        <v>-6.1299999984882341</v>
      </c>
      <c r="I34" s="145">
        <v>-0.66000000047047314</v>
      </c>
      <c r="J34" s="145">
        <v>1.0999999997247212</v>
      </c>
      <c r="K34" s="145">
        <v>-2.2588400000000002</v>
      </c>
      <c r="L34" s="145">
        <v>1.59762</v>
      </c>
      <c r="M34" s="145"/>
      <c r="N34" s="145">
        <v>-1.0802499999999999</v>
      </c>
      <c r="O34" s="145">
        <v>-1.0557099999999999</v>
      </c>
      <c r="P34" s="145">
        <v>-6.9999231804908408</v>
      </c>
      <c r="Q34" s="145">
        <v>0.64568000000000003</v>
      </c>
      <c r="R34" s="145">
        <v>0.38116</v>
      </c>
      <c r="S34" s="145">
        <v>0.43419000000000002</v>
      </c>
      <c r="T34" s="145">
        <v>-3.2949299999999999</v>
      </c>
      <c r="U34" s="145">
        <v>1.27389</v>
      </c>
      <c r="V34" s="145">
        <v>0.29608000000000001</v>
      </c>
      <c r="W34" s="145">
        <v>-2.7291799999999999</v>
      </c>
      <c r="X34" s="145"/>
      <c r="Y34" s="145">
        <v>-5.8794700000000004</v>
      </c>
      <c r="Z34" s="145">
        <v>0.32999999915077627</v>
      </c>
      <c r="AA34" s="145">
        <v>1.0699941580794747</v>
      </c>
      <c r="AB34" s="145">
        <v>-4.5099999992222806</v>
      </c>
    </row>
    <row r="35" spans="1:28" x14ac:dyDescent="0.15">
      <c r="A35" s="147">
        <v>45107</v>
      </c>
      <c r="B35" s="145">
        <v>5.6318799999999998</v>
      </c>
      <c r="C35" s="145">
        <v>5.8121999999999998</v>
      </c>
      <c r="D35" s="145">
        <v>7.1701699999999997</v>
      </c>
      <c r="E35" s="145">
        <v>6.02257</v>
      </c>
      <c r="F35" s="145">
        <v>5.51065</v>
      </c>
      <c r="G35" s="145">
        <v>5.378502086920367</v>
      </c>
      <c r="H35" s="145">
        <v>5.0599999953030217</v>
      </c>
      <c r="I35" s="145">
        <v>4.9400000003612554</v>
      </c>
      <c r="J35" s="145">
        <v>5.9799999998625397</v>
      </c>
      <c r="K35" s="145">
        <v>5.7911900000000003</v>
      </c>
      <c r="L35" s="145">
        <v>6.7078800000000003</v>
      </c>
      <c r="M35" s="145"/>
      <c r="N35" s="145">
        <v>5.7722300000000004</v>
      </c>
      <c r="O35" s="145">
        <v>5.8042800000000003</v>
      </c>
      <c r="P35" s="145">
        <v>6.7767703735453821</v>
      </c>
      <c r="Q35" s="145">
        <v>5.85405</v>
      </c>
      <c r="R35" s="145">
        <v>6.45139</v>
      </c>
      <c r="S35" s="145">
        <v>6.8480100000000004</v>
      </c>
      <c r="T35" s="145">
        <v>5.3848000000000003</v>
      </c>
      <c r="U35" s="145">
        <v>4.8217999999999996</v>
      </c>
      <c r="V35" s="145">
        <v>6.05166</v>
      </c>
      <c r="W35" s="145">
        <v>5.0359699999999998</v>
      </c>
      <c r="X35" s="145"/>
      <c r="Y35" s="145">
        <v>5.49519</v>
      </c>
      <c r="Z35" s="145">
        <v>9.6500000036897404</v>
      </c>
      <c r="AA35" s="145">
        <v>5.6638920592976589</v>
      </c>
      <c r="AB35" s="145">
        <v>3.4699999985488672</v>
      </c>
    </row>
    <row r="36" spans="1:28" x14ac:dyDescent="0.15">
      <c r="A36" s="147">
        <v>45138</v>
      </c>
      <c r="B36" s="145">
        <v>2.5670899999999999</v>
      </c>
      <c r="C36" s="145">
        <v>3.4120300000000001</v>
      </c>
      <c r="D36" s="145">
        <v>1.9625300000000001</v>
      </c>
      <c r="E36" s="145">
        <v>4.46061</v>
      </c>
      <c r="F36" s="145">
        <v>4.3639700000000001</v>
      </c>
      <c r="G36" s="145">
        <v>2.4574738695997134</v>
      </c>
      <c r="H36" s="145">
        <v>1.7000000042159957</v>
      </c>
      <c r="I36" s="145">
        <v>1.5300000000946223</v>
      </c>
      <c r="J36" s="145">
        <v>3.0200000011440631</v>
      </c>
      <c r="K36" s="145">
        <v>1.36212</v>
      </c>
      <c r="L36" s="145">
        <v>2.9819800000000001</v>
      </c>
      <c r="M36" s="145"/>
      <c r="N36" s="145">
        <v>8.6283200000000004</v>
      </c>
      <c r="O36" s="145">
        <v>3.5204</v>
      </c>
      <c r="P36" s="145">
        <v>4.0558425114831431</v>
      </c>
      <c r="Q36" s="145">
        <v>0.68181999999999998</v>
      </c>
      <c r="R36" s="145">
        <v>3.4653399999999999</v>
      </c>
      <c r="S36" s="145">
        <v>3.6009799999999998</v>
      </c>
      <c r="T36" s="145">
        <v>1.62785</v>
      </c>
      <c r="U36" s="145">
        <v>3.5333299999999999</v>
      </c>
      <c r="V36" s="145">
        <v>5.2192100000000003</v>
      </c>
      <c r="W36" s="145">
        <v>2.5342500000000001</v>
      </c>
      <c r="X36" s="145"/>
      <c r="Y36" s="145">
        <v>5.1320399999999999</v>
      </c>
      <c r="Z36" s="145">
        <v>2.7300000049549578</v>
      </c>
      <c r="AA36" s="145">
        <v>2.9347131859040649</v>
      </c>
      <c r="AB36" s="145">
        <v>3.0799999989896021</v>
      </c>
    </row>
    <row r="37" spans="1:28" x14ac:dyDescent="0.15">
      <c r="A37" s="147">
        <v>45169</v>
      </c>
      <c r="B37" s="145">
        <v>-2.2054200000000002</v>
      </c>
      <c r="C37" s="145">
        <v>-1.26627</v>
      </c>
      <c r="D37" s="145">
        <v>-0.80489999999999995</v>
      </c>
      <c r="E37" s="145">
        <v>-1.45366</v>
      </c>
      <c r="F37" s="145">
        <v>-0.64502000000000004</v>
      </c>
      <c r="G37" s="145">
        <v>-6.088577693895358</v>
      </c>
      <c r="H37" s="145">
        <v>-0.86000000475868754</v>
      </c>
      <c r="I37" s="145">
        <v>0.55999999966858116</v>
      </c>
      <c r="J37" s="145">
        <v>-2.1100000008138275</v>
      </c>
      <c r="K37" s="145">
        <v>-2.3326600000000002</v>
      </c>
      <c r="L37" s="145">
        <v>-1.4398899999999999</v>
      </c>
      <c r="M37" s="145"/>
      <c r="N37" s="145">
        <v>-7.1283099999999999</v>
      </c>
      <c r="O37" s="145">
        <v>-2.83887</v>
      </c>
      <c r="P37" s="145">
        <v>-5.6150659809093062</v>
      </c>
      <c r="Q37" s="145">
        <v>-2.7088000000000001</v>
      </c>
      <c r="R37" s="145">
        <v>-1.6333299999999999</v>
      </c>
      <c r="S37" s="145">
        <v>-1.94387</v>
      </c>
      <c r="T37" s="145">
        <v>-1.66852</v>
      </c>
      <c r="U37" s="145">
        <v>0.12878000000000001</v>
      </c>
      <c r="V37" s="145">
        <v>-3.3730199999999999</v>
      </c>
      <c r="W37" s="145">
        <v>-5.1436200000000003</v>
      </c>
      <c r="X37" s="145"/>
      <c r="Y37" s="145">
        <v>0.42653999999999997</v>
      </c>
      <c r="Z37" s="145">
        <v>-1.1400000036961289</v>
      </c>
      <c r="AA37" s="145">
        <v>-1.4273091827599722</v>
      </c>
      <c r="AB37" s="145">
        <v>-2.7899999995255831</v>
      </c>
    </row>
    <row r="38" spans="1:28" x14ac:dyDescent="0.15">
      <c r="A38" s="147">
        <v>45199</v>
      </c>
      <c r="B38" s="145">
        <v>-4.2565600000000003</v>
      </c>
      <c r="C38" s="145">
        <v>-5.23428</v>
      </c>
      <c r="D38" s="145">
        <v>-5.2213799999999999</v>
      </c>
      <c r="E38" s="145">
        <v>-4.6059400000000004</v>
      </c>
      <c r="F38" s="145">
        <v>-6.0219399999999998</v>
      </c>
      <c r="G38" s="145">
        <v>-4.4203962208316909</v>
      </c>
      <c r="H38" s="145">
        <v>-5.5499999972384302</v>
      </c>
      <c r="I38" s="145">
        <v>-5.0999999998308843</v>
      </c>
      <c r="J38" s="145">
        <v>-6.2500000000860645</v>
      </c>
      <c r="K38" s="145">
        <v>-5.1921099999999996</v>
      </c>
      <c r="L38" s="145">
        <v>-5.7502599999999999</v>
      </c>
      <c r="M38" s="145"/>
      <c r="N38" s="145">
        <v>-3.5087700000000002</v>
      </c>
      <c r="O38" s="145">
        <v>-4.1852</v>
      </c>
      <c r="P38" s="145">
        <v>-5.1685065957585152</v>
      </c>
      <c r="Q38" s="145">
        <v>-5.6457800000000002</v>
      </c>
      <c r="R38" s="145">
        <v>-4.9799899999999999</v>
      </c>
      <c r="S38" s="145">
        <v>-4.7892599999999996</v>
      </c>
      <c r="T38" s="145">
        <v>-2.9638</v>
      </c>
      <c r="U38" s="145">
        <v>-3.1511300000000002</v>
      </c>
      <c r="V38" s="145">
        <v>-0.13689000000000001</v>
      </c>
      <c r="W38" s="145">
        <v>-3.9436599999999999</v>
      </c>
      <c r="X38" s="145"/>
      <c r="Y38" s="145">
        <v>0.26061000000000001</v>
      </c>
      <c r="Z38" s="145">
        <v>-4.769999999420282</v>
      </c>
      <c r="AA38" s="145">
        <v>-3.8879335041462437</v>
      </c>
      <c r="AB38" s="145">
        <v>-3.7600000007980694</v>
      </c>
    </row>
    <row r="39" spans="1:28" x14ac:dyDescent="0.15">
      <c r="A39" s="147">
        <v>45230</v>
      </c>
      <c r="B39" s="145">
        <v>-3.9443199999999998</v>
      </c>
      <c r="C39" s="145">
        <v>-1.6048899999999999</v>
      </c>
      <c r="D39" s="145">
        <v>-1.80532</v>
      </c>
      <c r="E39" s="145">
        <v>-3.16947</v>
      </c>
      <c r="F39" s="145">
        <v>-3.16818</v>
      </c>
      <c r="G39" s="145">
        <v>-2.8777052171862438</v>
      </c>
      <c r="H39" s="145">
        <v>-3.3299999977176142</v>
      </c>
      <c r="I39" s="145">
        <v>-1.8299999998246941</v>
      </c>
      <c r="J39" s="145">
        <v>-4.3199999992291076</v>
      </c>
      <c r="K39" s="145">
        <v>-1.45126</v>
      </c>
      <c r="L39" s="145">
        <v>-2.8545699999999998</v>
      </c>
      <c r="M39" s="145"/>
      <c r="N39" s="145">
        <v>-6.3636400000000002</v>
      </c>
      <c r="O39" s="145">
        <v>-2.7191900000000002</v>
      </c>
      <c r="P39" s="145">
        <v>-6.0940342343954734</v>
      </c>
      <c r="Q39" s="145">
        <v>-2.1311499999999999</v>
      </c>
      <c r="R39" s="145">
        <v>-2.3555100000000002</v>
      </c>
      <c r="S39" s="145">
        <v>-2.6949100000000001</v>
      </c>
      <c r="T39" s="145">
        <v>-1.11914</v>
      </c>
      <c r="U39" s="145">
        <v>-1.39442</v>
      </c>
      <c r="V39" s="145">
        <v>-3.0842999999999998</v>
      </c>
      <c r="W39" s="145">
        <v>-4.03226</v>
      </c>
      <c r="X39" s="145"/>
      <c r="Y39" s="145">
        <v>-1.23515</v>
      </c>
      <c r="Z39" s="145">
        <v>-2.6900000042096361</v>
      </c>
      <c r="AA39" s="145">
        <v>-2.2752646115397166</v>
      </c>
      <c r="AB39" s="145">
        <v>-0.23999999842094777</v>
      </c>
    </row>
    <row r="40" spans="1:28" x14ac:dyDescent="0.15">
      <c r="A40" s="147">
        <v>45260</v>
      </c>
      <c r="B40" s="145">
        <v>9.5840300000000003</v>
      </c>
      <c r="C40" s="145">
        <v>9.0424699999999998</v>
      </c>
      <c r="D40" s="145">
        <v>8.8324499999999997</v>
      </c>
      <c r="E40" s="145">
        <v>8.8510399999999994</v>
      </c>
      <c r="F40" s="145">
        <v>12.939730000000001</v>
      </c>
      <c r="G40" s="145">
        <v>9.6296022631312095</v>
      </c>
      <c r="H40" s="145">
        <v>8.4899999974584528</v>
      </c>
      <c r="I40" s="145">
        <v>14.839999999922115</v>
      </c>
      <c r="J40" s="145">
        <v>14.079999999486613</v>
      </c>
      <c r="K40" s="145">
        <v>8.5023599999999995</v>
      </c>
      <c r="L40" s="145">
        <v>10.44899</v>
      </c>
      <c r="M40" s="145"/>
      <c r="N40" s="145">
        <v>7.2006500000000004</v>
      </c>
      <c r="O40" s="145">
        <v>9.0400200000000002</v>
      </c>
      <c r="P40" s="145">
        <v>10.384241429787778</v>
      </c>
      <c r="Q40" s="145">
        <v>10.30151</v>
      </c>
      <c r="R40" s="145">
        <v>9.6574299999999997</v>
      </c>
      <c r="S40" s="145">
        <v>9.4133300000000002</v>
      </c>
      <c r="T40" s="145">
        <v>7.4679099999999998</v>
      </c>
      <c r="U40" s="145">
        <v>7.4074099999999996</v>
      </c>
      <c r="V40" s="145">
        <v>7.9915099999999999</v>
      </c>
      <c r="W40" s="145">
        <v>9.39649</v>
      </c>
      <c r="X40" s="145"/>
      <c r="Y40" s="145">
        <v>3.0303</v>
      </c>
      <c r="Z40" s="145">
        <v>6.9100000010887896</v>
      </c>
      <c r="AA40" s="145">
        <v>9.9991389061226741</v>
      </c>
      <c r="AB40" s="145">
        <v>5.1099999999324908</v>
      </c>
    </row>
    <row r="41" spans="1:28" x14ac:dyDescent="0.15">
      <c r="A41" s="147">
        <v>45291</v>
      </c>
      <c r="B41" s="145">
        <v>5.0444800000000001</v>
      </c>
      <c r="C41" s="145">
        <v>4.2396700000000003</v>
      </c>
      <c r="D41" s="145">
        <v>5.3178400000000003</v>
      </c>
      <c r="E41" s="145">
        <v>4.6265999999999998</v>
      </c>
      <c r="F41" s="145">
        <v>4.7813600000000003</v>
      </c>
      <c r="G41" s="145">
        <v>7.0202111137535717</v>
      </c>
      <c r="H41" s="145">
        <v>4.430000001819101</v>
      </c>
      <c r="I41" s="145">
        <v>5.9599999995795017</v>
      </c>
      <c r="J41" s="145">
        <v>8.0200000003442398</v>
      </c>
      <c r="K41" s="145">
        <v>5.9693899999999998</v>
      </c>
      <c r="L41" s="145">
        <v>5.1459400000000004</v>
      </c>
      <c r="M41" s="145"/>
      <c r="N41" s="145">
        <v>2.0110999999999999</v>
      </c>
      <c r="O41" s="145">
        <v>4.7893999999999997</v>
      </c>
      <c r="P41" s="145">
        <v>7.5963680649358212</v>
      </c>
      <c r="Q41" s="145">
        <v>5.1634900000000004</v>
      </c>
      <c r="R41" s="145">
        <v>4.6714700000000002</v>
      </c>
      <c r="S41" s="145">
        <v>5.34415</v>
      </c>
      <c r="T41" s="145">
        <v>4.0996600000000001</v>
      </c>
      <c r="U41" s="145">
        <v>4.6929699999999999</v>
      </c>
      <c r="V41" s="145">
        <v>6.5395399999999997</v>
      </c>
      <c r="W41" s="145">
        <v>5.4074099999999996</v>
      </c>
      <c r="X41" s="145"/>
      <c r="Y41" s="145">
        <v>1.8669999999999999E-2</v>
      </c>
      <c r="Z41" s="145">
        <v>5.6900000009814322</v>
      </c>
      <c r="AA41" s="145">
        <v>4.568889185929752</v>
      </c>
      <c r="AB41" s="145">
        <v>0.66000000132713232</v>
      </c>
    </row>
    <row r="42" spans="1:28" x14ac:dyDescent="0.15">
      <c r="A42" s="147">
        <v>45322</v>
      </c>
      <c r="B42" s="145">
        <v>-0.33306000000000002</v>
      </c>
      <c r="C42" s="145">
        <v>1.70105</v>
      </c>
      <c r="D42" s="145">
        <v>2.1330200000000001</v>
      </c>
      <c r="E42" s="145">
        <v>2.61842</v>
      </c>
      <c r="F42" s="145">
        <v>3.05613</v>
      </c>
      <c r="G42" s="145">
        <v>-1.3598764910058292</v>
      </c>
      <c r="H42" s="145">
        <v>2.1799999996242825</v>
      </c>
      <c r="I42" s="145">
        <v>2.0100000004748875</v>
      </c>
      <c r="J42" s="145">
        <v>-1.1799999996304766</v>
      </c>
      <c r="K42" s="145">
        <v>0.66354999999999997</v>
      </c>
      <c r="L42" s="145">
        <v>1.095</v>
      </c>
      <c r="M42" s="145"/>
      <c r="N42" s="145">
        <v>-6.2151399999999999</v>
      </c>
      <c r="O42" s="145">
        <v>0.33890999999999999</v>
      </c>
      <c r="P42" s="145">
        <v>-4.652892485853199</v>
      </c>
      <c r="Q42" s="145">
        <v>-7.2410000000000002E-2</v>
      </c>
      <c r="R42" s="145">
        <v>1.4089100000000001</v>
      </c>
      <c r="S42" s="145">
        <v>1.0985400000000001</v>
      </c>
      <c r="T42" s="145">
        <v>-0.30460999999999999</v>
      </c>
      <c r="U42" s="145">
        <v>5.1608999999999998</v>
      </c>
      <c r="V42" s="145">
        <v>3.1565699999999999</v>
      </c>
      <c r="W42" s="145">
        <v>-2.0533899999999998</v>
      </c>
      <c r="X42" s="145"/>
      <c r="Y42" s="145">
        <v>-0.94162000000000001</v>
      </c>
      <c r="Z42" s="145">
        <v>0.19999999756799003</v>
      </c>
      <c r="AA42" s="145">
        <v>1.895083190680366</v>
      </c>
      <c r="AB42" s="145">
        <v>-1.0300000025977529</v>
      </c>
    </row>
    <row r="43" spans="1:28" x14ac:dyDescent="0.15">
      <c r="A43" s="147">
        <v>45351</v>
      </c>
      <c r="B43" s="145">
        <v>2.25806</v>
      </c>
      <c r="C43" s="145">
        <v>4.4661900000000001</v>
      </c>
      <c r="D43" s="145">
        <v>4.8676199999999996</v>
      </c>
      <c r="E43" s="145">
        <v>6.25</v>
      </c>
      <c r="F43" s="145">
        <v>5.7696199999999997</v>
      </c>
      <c r="G43" s="145">
        <v>2.1139510554249119</v>
      </c>
      <c r="H43" s="145">
        <v>3.1899999972934356</v>
      </c>
      <c r="I43" s="145">
        <v>2.3899999998268529</v>
      </c>
      <c r="J43" s="145">
        <v>5.8699999988620633</v>
      </c>
      <c r="K43" s="145">
        <v>3.3447300000000002</v>
      </c>
      <c r="L43" s="145">
        <v>5.3203100000000001</v>
      </c>
      <c r="M43" s="145">
        <v>2.9459</v>
      </c>
      <c r="N43" s="145">
        <v>7.1367900000000004</v>
      </c>
      <c r="O43" s="145">
        <v>4.5531199999999998</v>
      </c>
      <c r="P43" s="145">
        <v>0.83328450175161883</v>
      </c>
      <c r="Q43" s="145">
        <v>6.2318800000000003</v>
      </c>
      <c r="R43" s="145">
        <v>5.1829499999999999</v>
      </c>
      <c r="S43" s="145">
        <v>5.42598</v>
      </c>
      <c r="T43" s="145">
        <v>2.2261000000000002</v>
      </c>
      <c r="U43" s="145">
        <v>10.2194</v>
      </c>
      <c r="V43" s="145">
        <v>4.4675599999999998</v>
      </c>
      <c r="W43" s="145">
        <v>2.51572</v>
      </c>
      <c r="X43" s="145"/>
      <c r="Y43" s="145">
        <v>2.4714800000000001</v>
      </c>
      <c r="Z43" s="145">
        <v>3.6800000076639083</v>
      </c>
      <c r="AA43" s="145">
        <v>5.512067716787282</v>
      </c>
      <c r="AB43" s="145">
        <v>2.2800000000796183</v>
      </c>
    </row>
    <row r="44" spans="1:28" x14ac:dyDescent="0.15">
      <c r="A44" s="147">
        <v>45382</v>
      </c>
      <c r="B44" s="145">
        <v>2.2446999999999999</v>
      </c>
      <c r="C44" s="145">
        <v>3.5617399999999999</v>
      </c>
      <c r="D44" s="145">
        <v>2.3051599999999999</v>
      </c>
      <c r="E44" s="145">
        <v>3.6480199999999998</v>
      </c>
      <c r="F44" s="145">
        <v>1.7356499999999999</v>
      </c>
      <c r="G44" s="145">
        <v>1.8001714959448245</v>
      </c>
      <c r="H44" s="145">
        <v>1.5099999982387091</v>
      </c>
      <c r="I44" s="145">
        <v>2.1900000001195963</v>
      </c>
      <c r="J44" s="145">
        <v>1.8300000007355877</v>
      </c>
      <c r="K44" s="145">
        <v>3.9117999999999999</v>
      </c>
      <c r="L44" s="145">
        <v>1.7561800000000001</v>
      </c>
      <c r="M44" s="145">
        <v>2.4315500000000001</v>
      </c>
      <c r="N44" s="145">
        <v>0.39650999999999997</v>
      </c>
      <c r="O44" s="145">
        <v>3.1412399999999998</v>
      </c>
      <c r="P44" s="145">
        <v>3.9056165126240217</v>
      </c>
      <c r="Q44" s="145">
        <v>2.6602999999999999</v>
      </c>
      <c r="R44" s="145">
        <v>3.1726399999999999</v>
      </c>
      <c r="S44" s="145">
        <v>3.22072</v>
      </c>
      <c r="T44" s="145">
        <v>2.4765199999999998</v>
      </c>
      <c r="U44" s="145">
        <v>2.7239399999999998</v>
      </c>
      <c r="V44" s="145">
        <v>2.4018700000000002</v>
      </c>
      <c r="W44" s="145">
        <v>3.5446499999999999</v>
      </c>
      <c r="X44" s="145"/>
      <c r="Y44" s="145">
        <v>7.5059699999999996</v>
      </c>
      <c r="Z44" s="145">
        <v>3.3199999956620596</v>
      </c>
      <c r="AA44" s="145">
        <v>2.6521943898376557</v>
      </c>
      <c r="AB44" s="145">
        <v>7.7399999999790747</v>
      </c>
    </row>
    <row r="45" spans="1:28" x14ac:dyDescent="0.15">
      <c r="A45" s="147">
        <v>45412</v>
      </c>
      <c r="B45" s="145">
        <v>-4.99552</v>
      </c>
      <c r="C45" s="145">
        <v>-4.7932800000000002</v>
      </c>
      <c r="D45" s="145">
        <v>-3.2955199999999998</v>
      </c>
      <c r="E45" s="145">
        <v>-4.4908599999999996</v>
      </c>
      <c r="F45" s="145">
        <v>-5.5118099999999997</v>
      </c>
      <c r="G45" s="145">
        <v>-3.8903619680025758</v>
      </c>
      <c r="H45" s="145">
        <v>-3.9199999952006626</v>
      </c>
      <c r="I45" s="145">
        <v>-2.8600000002246717</v>
      </c>
      <c r="J45" s="145">
        <v>-4.7100000004074332</v>
      </c>
      <c r="K45" s="145">
        <v>-3.6665899999999998</v>
      </c>
      <c r="L45" s="145">
        <v>-4.9789199999999996</v>
      </c>
      <c r="M45" s="145">
        <v>-3.7229800000000002</v>
      </c>
      <c r="N45" s="145">
        <v>0.86887999999999999</v>
      </c>
      <c r="O45" s="145">
        <v>-3.5226799999999998</v>
      </c>
      <c r="P45" s="145">
        <v>-3.6574805917100051</v>
      </c>
      <c r="Q45" s="145">
        <v>-4.3189399999999996</v>
      </c>
      <c r="R45" s="145">
        <v>-4.1119500000000002</v>
      </c>
      <c r="S45" s="145">
        <v>-4.4053100000000001</v>
      </c>
      <c r="T45" s="145">
        <v>-1.5</v>
      </c>
      <c r="U45" s="145">
        <v>-4.5385</v>
      </c>
      <c r="V45" s="145">
        <v>-0.40045999999999998</v>
      </c>
      <c r="W45" s="145">
        <v>-4.2791300000000003</v>
      </c>
      <c r="X45" s="145"/>
      <c r="Y45" s="145">
        <v>0.52151000000000003</v>
      </c>
      <c r="Z45" s="145">
        <v>-4.9599999979951459</v>
      </c>
      <c r="AA45" s="145">
        <v>-3.5659352836347096</v>
      </c>
      <c r="AB45" s="145">
        <v>0.44000000050361532</v>
      </c>
    </row>
    <row r="46" spans="1:28" x14ac:dyDescent="0.15">
      <c r="A46" s="147">
        <v>45443</v>
      </c>
      <c r="B46" s="145">
        <v>2.8161</v>
      </c>
      <c r="C46" s="145">
        <v>2.85467</v>
      </c>
      <c r="D46" s="145">
        <v>5.6902799999999996</v>
      </c>
      <c r="E46" s="145">
        <v>4.8113700000000001</v>
      </c>
      <c r="F46" s="145">
        <v>3.4325399999999999</v>
      </c>
      <c r="G46" s="145">
        <v>6.1637338810909492</v>
      </c>
      <c r="H46" s="145">
        <v>3.0899999962344049</v>
      </c>
      <c r="I46" s="145">
        <v>-0.30999999988434723</v>
      </c>
      <c r="J46" s="145">
        <v>2.8499999998515158</v>
      </c>
      <c r="K46" s="145">
        <v>3.92435</v>
      </c>
      <c r="L46" s="145">
        <v>5.6064400000000001</v>
      </c>
      <c r="M46" s="145">
        <v>5.4401400000000004</v>
      </c>
      <c r="N46" s="145">
        <v>-1.1746300000000001</v>
      </c>
      <c r="O46" s="145">
        <v>4.4954799999999997</v>
      </c>
      <c r="P46" s="145">
        <v>4.1913062090404241</v>
      </c>
      <c r="Q46" s="145">
        <v>7.98611</v>
      </c>
      <c r="R46" s="145">
        <v>4.7654800000000002</v>
      </c>
      <c r="S46" s="145">
        <v>4.7472399999999997</v>
      </c>
      <c r="T46" s="145">
        <v>4.9703900000000001</v>
      </c>
      <c r="U46" s="145">
        <v>5.4487199999999998</v>
      </c>
      <c r="V46" s="145">
        <v>2.9867900000000001</v>
      </c>
      <c r="W46" s="145">
        <v>3.43879</v>
      </c>
      <c r="X46" s="145"/>
      <c r="Y46" s="145">
        <v>2.8966699999999999</v>
      </c>
      <c r="Z46" s="145">
        <v>-0.70000000507506321</v>
      </c>
      <c r="AA46" s="145">
        <v>3.9275717064859132</v>
      </c>
      <c r="AB46" s="145">
        <v>2.8799999994416847</v>
      </c>
    </row>
    <row r="47" spans="1:28" x14ac:dyDescent="0.15">
      <c r="A47" s="147">
        <v>45473</v>
      </c>
      <c r="B47" s="145">
        <v>0.16217999999999999</v>
      </c>
      <c r="C47" s="145">
        <v>4.0676199999999998</v>
      </c>
      <c r="D47" s="145">
        <v>3.6442700000000001</v>
      </c>
      <c r="E47" s="145">
        <v>3.1567599999999998</v>
      </c>
      <c r="F47" s="145">
        <v>5.3328199999999999</v>
      </c>
      <c r="G47" s="145">
        <v>0.77995272127828752</v>
      </c>
      <c r="H47" s="145">
        <v>-0.40000000083389997</v>
      </c>
      <c r="I47" s="145">
        <v>1.6099999998256953</v>
      </c>
      <c r="J47" s="145">
        <v>9.0000000048306994E-2</v>
      </c>
      <c r="K47" s="145">
        <v>0.47771000000000002</v>
      </c>
      <c r="L47" s="145">
        <v>4.1617600000000001</v>
      </c>
      <c r="M47" s="145">
        <v>-1.8566499999999999</v>
      </c>
      <c r="N47" s="145">
        <v>0.55467999999999995</v>
      </c>
      <c r="O47" s="145">
        <v>2.0180699999999998</v>
      </c>
      <c r="P47" s="145">
        <v>-4.4624056827427534</v>
      </c>
      <c r="Q47" s="145">
        <v>0.77170000000000005</v>
      </c>
      <c r="R47" s="145">
        <v>3.4870199999999998</v>
      </c>
      <c r="S47" s="145">
        <v>3.1101200000000002</v>
      </c>
      <c r="T47" s="145">
        <v>-1.8335699999999999</v>
      </c>
      <c r="U47" s="145">
        <v>2.88754</v>
      </c>
      <c r="V47" s="145">
        <v>2.5655299999999999</v>
      </c>
      <c r="W47" s="145">
        <v>-2.65957</v>
      </c>
      <c r="X47" s="145"/>
      <c r="Y47" s="145">
        <v>-1.0534600000000001</v>
      </c>
      <c r="Z47" s="145">
        <v>2.8800000023862626</v>
      </c>
      <c r="AA47" s="145">
        <v>0.83568306685032723</v>
      </c>
      <c r="AB47" s="145">
        <v>-1.0499999978396901</v>
      </c>
    </row>
    <row r="48" spans="1:28" x14ac:dyDescent="0.15">
      <c r="A48" s="147">
        <v>45504</v>
      </c>
      <c r="B48" s="145">
        <v>4.3211899999999996</v>
      </c>
      <c r="C48" s="145">
        <v>1.9252499999999999</v>
      </c>
      <c r="D48" s="145">
        <v>-0.37620999999999999</v>
      </c>
      <c r="E48" s="145">
        <v>0.35487999999999997</v>
      </c>
      <c r="F48" s="145">
        <v>-1.20197</v>
      </c>
      <c r="G48" s="145">
        <v>4.2992044957127495</v>
      </c>
      <c r="H48" s="145">
        <v>1.1000000027376</v>
      </c>
      <c r="I48" s="145">
        <v>3.2800000001325103</v>
      </c>
      <c r="J48" s="145">
        <v>3.7300000009054424</v>
      </c>
      <c r="K48" s="145">
        <v>2.2187000000000001</v>
      </c>
      <c r="L48" s="145">
        <v>1.5728800000000001</v>
      </c>
      <c r="M48" s="145">
        <v>3.6429399999999998</v>
      </c>
      <c r="N48" s="145">
        <v>0</v>
      </c>
      <c r="O48" s="145">
        <v>1.64981</v>
      </c>
      <c r="P48" s="145">
        <v>2.2201769997475473</v>
      </c>
      <c r="Q48" s="145">
        <v>1.2763199999999999</v>
      </c>
      <c r="R48" s="145">
        <v>1.4621</v>
      </c>
      <c r="S48" s="145">
        <v>1.8380300000000001</v>
      </c>
      <c r="T48" s="145">
        <v>3.94089</v>
      </c>
      <c r="U48" s="145">
        <v>-2.4125999999999999</v>
      </c>
      <c r="V48" s="145">
        <v>-0.27189000000000002</v>
      </c>
      <c r="W48" s="145">
        <v>3.7568299999999999</v>
      </c>
      <c r="X48" s="145"/>
      <c r="Y48" s="145">
        <v>3.3862000000000001</v>
      </c>
      <c r="Z48" s="145">
        <v>0.38999999694775411</v>
      </c>
      <c r="AA48" s="145">
        <v>1.3101656021188721</v>
      </c>
      <c r="AB48" s="145">
        <v>3.3799999994541974</v>
      </c>
    </row>
    <row r="49" spans="1:28" x14ac:dyDescent="0.15">
      <c r="A49" s="147">
        <v>45535</v>
      </c>
      <c r="B49" s="145">
        <v>3.12324</v>
      </c>
      <c r="C49" s="145">
        <v>1.5079400000000001</v>
      </c>
      <c r="D49" s="145">
        <v>2.5272299999999999</v>
      </c>
      <c r="E49" s="145">
        <v>2.1252800000000001</v>
      </c>
      <c r="F49" s="145">
        <v>2.3225799999999999</v>
      </c>
      <c r="G49" s="145">
        <v>3.3800576923392445</v>
      </c>
      <c r="H49" s="145">
        <v>3.5999999975155683</v>
      </c>
      <c r="I49" s="145">
        <v>1.8199999997651872</v>
      </c>
      <c r="J49" s="145">
        <v>3.0399999996965965</v>
      </c>
      <c r="K49" s="145">
        <v>3.8538199999999998</v>
      </c>
      <c r="L49" s="145">
        <v>3.0033300000000001</v>
      </c>
      <c r="M49" s="145">
        <v>4.0264699999999998</v>
      </c>
      <c r="N49" s="145">
        <v>1.5760400000000001</v>
      </c>
      <c r="O49" s="145">
        <v>2.5264700000000002</v>
      </c>
      <c r="P49" s="145">
        <v>2.2593832379479872</v>
      </c>
      <c r="Q49" s="145">
        <v>1.4492799999999999</v>
      </c>
      <c r="R49" s="145">
        <v>2.3422299999999998</v>
      </c>
      <c r="S49" s="145">
        <v>2.14066</v>
      </c>
      <c r="T49" s="145">
        <v>3.4162699999999999</v>
      </c>
      <c r="U49" s="145">
        <v>3.7336</v>
      </c>
      <c r="V49" s="145">
        <v>-1.19956</v>
      </c>
      <c r="W49" s="145">
        <v>4.6082900000000002</v>
      </c>
      <c r="X49" s="145"/>
      <c r="Y49" s="145">
        <v>1.2437800000000001</v>
      </c>
      <c r="Z49" s="145">
        <v>3.129999999677735</v>
      </c>
      <c r="AA49" s="145">
        <v>3.3113706947512629</v>
      </c>
      <c r="AB49" s="145">
        <v>1.2600000008376133</v>
      </c>
    </row>
    <row r="50" spans="1:28" x14ac:dyDescent="0.15">
      <c r="A50" s="147">
        <v>45565</v>
      </c>
      <c r="B50" s="145">
        <v>1.74634</v>
      </c>
      <c r="C50" s="145">
        <v>2.0308099999999998</v>
      </c>
      <c r="D50" s="145">
        <v>1.86995</v>
      </c>
      <c r="E50" s="145">
        <v>2.5615700000000001</v>
      </c>
      <c r="F50" s="145">
        <v>1.3691199999999999</v>
      </c>
      <c r="G50" s="145">
        <v>1.5151203407239855</v>
      </c>
      <c r="H50" s="145">
        <v>1.400000000073609</v>
      </c>
      <c r="I50" s="145">
        <v>2.8700000001125048</v>
      </c>
      <c r="J50" s="145">
        <v>2.5699999994986511</v>
      </c>
      <c r="K50" s="145">
        <v>2.9643799999999998</v>
      </c>
      <c r="L50" s="145">
        <v>2.3873899999999999</v>
      </c>
      <c r="M50" s="145">
        <v>1.1843999999999999</v>
      </c>
      <c r="N50" s="145">
        <v>8.3010099999999998</v>
      </c>
      <c r="O50" s="145">
        <v>2.1919499999999998</v>
      </c>
      <c r="P50" s="145">
        <v>3.9588590375023047</v>
      </c>
      <c r="Q50" s="145">
        <v>0.80745</v>
      </c>
      <c r="R50" s="145">
        <v>2.2458900000000002</v>
      </c>
      <c r="S50" s="145">
        <v>2.0603899999999999</v>
      </c>
      <c r="T50" s="145">
        <v>0.59997999999999996</v>
      </c>
      <c r="U50" s="145">
        <v>-0.68093000000000004</v>
      </c>
      <c r="V50" s="145">
        <v>-5.5190000000000003E-2</v>
      </c>
      <c r="W50" s="145">
        <v>1.5733200000000001</v>
      </c>
      <c r="X50" s="145"/>
      <c r="Y50" s="145">
        <v>-0.16653000000000001</v>
      </c>
      <c r="Z50" s="145">
        <v>1.5000000064461005</v>
      </c>
      <c r="AA50" s="145">
        <v>2.1756397138839945</v>
      </c>
      <c r="AB50" s="145">
        <v>-8.0000002019076089E-2</v>
      </c>
    </row>
    <row r="51" spans="1:28" x14ac:dyDescent="0.15">
      <c r="A51" s="147">
        <v>45596</v>
      </c>
      <c r="B51" s="145">
        <v>-2.2782100000000001</v>
      </c>
      <c r="C51" s="145">
        <v>-1.8109299999999999</v>
      </c>
      <c r="D51" s="145">
        <v>-0.90390999999999999</v>
      </c>
      <c r="E51" s="145">
        <v>-1.2010799999999999</v>
      </c>
      <c r="F51" s="145">
        <v>-1.29732</v>
      </c>
      <c r="G51" s="145">
        <v>-1.2568521555836765</v>
      </c>
      <c r="H51" s="145">
        <v>-5.0999999966029108</v>
      </c>
      <c r="I51" s="145">
        <v>0.82000000003070728</v>
      </c>
      <c r="J51" s="145">
        <v>-3.9499999994758728</v>
      </c>
      <c r="K51" s="145">
        <v>-4.28749</v>
      </c>
      <c r="L51" s="145">
        <v>-1.60026</v>
      </c>
      <c r="M51" s="145">
        <v>-5.4293800000000001</v>
      </c>
      <c r="N51" s="145">
        <v>-4.8710599999999999</v>
      </c>
      <c r="O51" s="145">
        <v>-2.1730900000000002</v>
      </c>
      <c r="P51" s="145">
        <v>-3.4175008125640782</v>
      </c>
      <c r="Q51" s="145">
        <v>-3.63524</v>
      </c>
      <c r="R51" s="145">
        <v>-1.1334599999999999</v>
      </c>
      <c r="S51" s="145">
        <v>-0.71323999999999999</v>
      </c>
      <c r="T51" s="145">
        <v>-4.3503299999999996</v>
      </c>
      <c r="U51" s="145">
        <v>-1.76298</v>
      </c>
      <c r="V51" s="145">
        <v>-3.8100499999999999</v>
      </c>
      <c r="W51" s="145">
        <v>-4.0892200000000001</v>
      </c>
      <c r="X51" s="145"/>
      <c r="Y51" s="145">
        <v>0.49689</v>
      </c>
      <c r="Z51" s="145">
        <v>2.9999996576424159E-2</v>
      </c>
      <c r="AA51" s="145">
        <v>-0.66284824643370022</v>
      </c>
      <c r="AB51" s="145">
        <v>0.4500000019914463</v>
      </c>
    </row>
    <row r="52" spans="1:28" x14ac:dyDescent="0.15">
      <c r="A52" s="147">
        <v>45626</v>
      </c>
      <c r="B52" s="145">
        <v>4.6011800000000003</v>
      </c>
      <c r="C52" s="145">
        <v>5.7518000000000002</v>
      </c>
      <c r="D52" s="145">
        <v>5.6272799999999998</v>
      </c>
      <c r="E52" s="145">
        <v>5.5269899999999996</v>
      </c>
      <c r="F52" s="145">
        <v>5.8336300000000003</v>
      </c>
      <c r="G52" s="145">
        <v>4.3755156175370624</v>
      </c>
      <c r="H52" s="145">
        <v>4.4999999955185999</v>
      </c>
      <c r="I52" s="145">
        <v>5.9600000003042775</v>
      </c>
      <c r="J52" s="145">
        <v>2.2199999994599651</v>
      </c>
      <c r="K52" s="145">
        <v>3.6572200000000001</v>
      </c>
      <c r="L52" s="145">
        <v>6.0792200000000003</v>
      </c>
      <c r="M52" s="145">
        <v>0.15903999999999999</v>
      </c>
      <c r="N52" s="145">
        <v>-4.2921699999999996</v>
      </c>
      <c r="O52" s="145">
        <v>3.9365100000000002</v>
      </c>
      <c r="P52" s="145">
        <v>4.9764120486304853</v>
      </c>
      <c r="Q52" s="145">
        <v>3.19693</v>
      </c>
      <c r="R52" s="145">
        <v>6.2614000000000001</v>
      </c>
      <c r="S52" s="145">
        <v>6.6512399999999996</v>
      </c>
      <c r="T52" s="145">
        <v>0.75197000000000003</v>
      </c>
      <c r="U52" s="145">
        <v>3.8384800000000001</v>
      </c>
      <c r="V52" s="145">
        <v>-2.52583</v>
      </c>
      <c r="W52" s="145">
        <v>0.58140000000000003</v>
      </c>
      <c r="X52" s="145"/>
      <c r="Y52" s="145">
        <v>9.1471</v>
      </c>
      <c r="Z52" s="145">
        <v>7.1100000031719457</v>
      </c>
      <c r="AA52" s="145">
        <v>5.520900413950887</v>
      </c>
      <c r="AB52" s="145">
        <v>9.249999998870706</v>
      </c>
    </row>
    <row r="53" spans="1:28" x14ac:dyDescent="0.15">
      <c r="A53" s="147">
        <v>45657</v>
      </c>
      <c r="B53" s="145">
        <v>-4.4366399999999997</v>
      </c>
      <c r="C53" s="145">
        <v>-3.3789699999999998</v>
      </c>
      <c r="D53" s="145">
        <v>-2.0363799999999999</v>
      </c>
      <c r="E53" s="145">
        <v>-1.4085000000000001</v>
      </c>
      <c r="F53" s="145">
        <v>-1.4948900000000001</v>
      </c>
      <c r="G53" s="145">
        <v>-6.7720588847062002</v>
      </c>
      <c r="H53" s="145">
        <v>-4.0000000002091918</v>
      </c>
      <c r="I53" s="145">
        <v>-0.22000000035102829</v>
      </c>
      <c r="J53" s="145">
        <v>-2.5000000002491918</v>
      </c>
      <c r="K53" s="145">
        <v>-3.65646</v>
      </c>
      <c r="L53" s="145">
        <v>-1.6879299999999999</v>
      </c>
      <c r="M53" s="145">
        <v>-3.6828599999999998</v>
      </c>
      <c r="N53" s="145">
        <v>-3.5575199999999998</v>
      </c>
      <c r="O53" s="145">
        <v>-2.57192</v>
      </c>
      <c r="P53" s="145">
        <v>-7.2070608636799367</v>
      </c>
      <c r="Q53" s="145">
        <v>-5.3583400000000001</v>
      </c>
      <c r="R53" s="145">
        <v>-2.5723400000000001</v>
      </c>
      <c r="S53" s="145">
        <v>-3.0305900000000001</v>
      </c>
      <c r="T53" s="145">
        <v>-3.4618199999999999</v>
      </c>
      <c r="U53" s="145">
        <v>-4.8426</v>
      </c>
      <c r="V53" s="145">
        <v>-0.93269000000000002</v>
      </c>
      <c r="W53" s="145">
        <v>-3.3352300000000001</v>
      </c>
      <c r="X53" s="145"/>
      <c r="Y53" s="145">
        <v>-6.84091</v>
      </c>
      <c r="Z53" s="145">
        <v>-3.0900000014963958</v>
      </c>
      <c r="AA53" s="145">
        <v>-3.5994025855635972</v>
      </c>
      <c r="AB53" s="145">
        <v>-7.1100000009008957</v>
      </c>
    </row>
    <row r="54" spans="1:28" x14ac:dyDescent="0.15">
      <c r="A54" s="147">
        <v>45688</v>
      </c>
      <c r="B54" s="145">
        <v>2.9493499999999999</v>
      </c>
      <c r="C54" s="145">
        <v>3.7824300000000002</v>
      </c>
      <c r="D54" s="145">
        <v>1.51014</v>
      </c>
      <c r="E54" s="145">
        <v>4.8832300000000002</v>
      </c>
      <c r="F54" s="145">
        <v>3.3569200000000001</v>
      </c>
      <c r="G54" s="145">
        <v>6.4966432062957269</v>
      </c>
      <c r="H54" s="145">
        <v>3.2800000033426979</v>
      </c>
      <c r="I54" s="145">
        <v>6.8000000002165217</v>
      </c>
      <c r="J54" s="145">
        <v>6.2300000000794054</v>
      </c>
      <c r="K54" s="145">
        <v>3.4184199999999998</v>
      </c>
      <c r="L54" s="145">
        <v>1.4096500000000001</v>
      </c>
      <c r="M54" s="145">
        <v>4.26044</v>
      </c>
      <c r="N54" s="145">
        <v>1.3411599999999999</v>
      </c>
      <c r="O54" s="145">
        <v>3.2830499999999998</v>
      </c>
      <c r="P54" s="145">
        <v>3.1174272373599932</v>
      </c>
      <c r="Q54" s="145">
        <v>4.1284400000000003</v>
      </c>
      <c r="R54" s="145">
        <v>2.75786</v>
      </c>
      <c r="S54" s="145">
        <v>3.07091</v>
      </c>
      <c r="T54" s="145">
        <v>3.95492</v>
      </c>
      <c r="U54" s="145">
        <v>5.0993000000000004</v>
      </c>
      <c r="V54" s="145">
        <v>6.046E-2</v>
      </c>
      <c r="W54" s="145">
        <v>6.1022100000000004</v>
      </c>
      <c r="X54" s="145"/>
      <c r="Y54" s="145">
        <v>4.0833000000000004</v>
      </c>
      <c r="Z54" s="145">
        <v>5.0600000030817327</v>
      </c>
      <c r="AA54" s="145">
        <v>6.3996613310762758</v>
      </c>
      <c r="AB54" s="145">
        <v>3.7600000008506829</v>
      </c>
    </row>
    <row r="55" spans="1:28" x14ac:dyDescent="0.15">
      <c r="A55" s="147">
        <v>45716</v>
      </c>
      <c r="B55" s="145">
        <v>-0.20171</v>
      </c>
      <c r="C55" s="145">
        <v>-1.19336</v>
      </c>
      <c r="D55" s="145">
        <v>-0.49589</v>
      </c>
      <c r="E55" s="145">
        <v>-1.6600999999999999</v>
      </c>
      <c r="F55" s="145">
        <v>-5.1264000000000003</v>
      </c>
      <c r="G55" s="145">
        <v>-1.9304445736147535</v>
      </c>
      <c r="H55" s="145">
        <v>-0.89999999971517308</v>
      </c>
      <c r="I55" s="145">
        <v>-3.6999999999465238</v>
      </c>
      <c r="J55" s="145">
        <v>-2.089999999805181</v>
      </c>
      <c r="K55" s="145">
        <v>-0.60099000000000002</v>
      </c>
      <c r="L55" s="145">
        <v>-2.4020700000000001</v>
      </c>
      <c r="M55" s="145">
        <v>2.4431699999999998</v>
      </c>
      <c r="N55" s="145">
        <v>0.16542999999999999</v>
      </c>
      <c r="O55" s="145">
        <v>-0.3508</v>
      </c>
      <c r="P55" s="145">
        <v>-2.8814614298460661</v>
      </c>
      <c r="Q55" s="145">
        <v>1.06986</v>
      </c>
      <c r="R55" s="145">
        <v>-1.80993</v>
      </c>
      <c r="S55" s="145">
        <v>-1.8920699999999999</v>
      </c>
      <c r="T55" s="145">
        <v>2.1272199999999999</v>
      </c>
      <c r="U55" s="145">
        <v>-0.15322</v>
      </c>
      <c r="V55" s="145">
        <v>-3.5649500000000001</v>
      </c>
      <c r="W55" s="145">
        <v>1.43781</v>
      </c>
      <c r="X55" s="145">
        <v>0.90873000000000004</v>
      </c>
      <c r="Y55" s="145">
        <v>0.78461999999999998</v>
      </c>
      <c r="Z55" s="145">
        <v>-2.740000000015419</v>
      </c>
      <c r="AA55" s="145">
        <v>-1.1186573735856289</v>
      </c>
      <c r="AB55" s="145">
        <v>0.82999999950237324</v>
      </c>
    </row>
    <row r="56" spans="1:28" x14ac:dyDescent="0.15">
      <c r="A56" s="147">
        <v>45747</v>
      </c>
      <c r="B56" s="145">
        <v>-3.6460300000000001</v>
      </c>
      <c r="C56" s="145">
        <v>-4.8185099999999998</v>
      </c>
      <c r="D56" s="145">
        <v>-6.8916399999999998</v>
      </c>
      <c r="E56" s="145">
        <v>-5.3137600000000003</v>
      </c>
      <c r="F56" s="145">
        <v>-8.1976300000000002</v>
      </c>
      <c r="G56" s="145">
        <v>-4.251963977624662</v>
      </c>
      <c r="H56" s="145">
        <v>-5.2300000033792982</v>
      </c>
      <c r="I56" s="145">
        <v>-7.300000000268958</v>
      </c>
      <c r="J56" s="145">
        <v>-5.7600000003512397</v>
      </c>
      <c r="K56" s="145">
        <v>-4.1112799999999998</v>
      </c>
      <c r="L56" s="145">
        <v>-6.5263</v>
      </c>
      <c r="M56" s="145">
        <v>-0.85526999999999997</v>
      </c>
      <c r="N56" s="145">
        <v>-1.8992599999999999</v>
      </c>
      <c r="O56" s="145">
        <v>-3.80613</v>
      </c>
      <c r="P56" s="145">
        <v>-4.8453690966402068</v>
      </c>
      <c r="Q56" s="145">
        <v>-3.5491899999999998</v>
      </c>
      <c r="R56" s="145">
        <v>-5.97119</v>
      </c>
      <c r="S56" s="145">
        <v>-5.9170499999999997</v>
      </c>
      <c r="T56" s="145">
        <v>-0.58940999999999999</v>
      </c>
      <c r="U56" s="145">
        <v>-3.98977</v>
      </c>
      <c r="V56" s="145">
        <v>3.3208000000000002</v>
      </c>
      <c r="W56" s="145">
        <v>-0.28349000000000002</v>
      </c>
      <c r="X56" s="145">
        <v>0.23493</v>
      </c>
      <c r="Y56" s="145">
        <v>2.2675000000000001</v>
      </c>
      <c r="Z56" s="145">
        <v>-6.8200000043526776</v>
      </c>
      <c r="AA56" s="145">
        <v>-4.3694703002030408</v>
      </c>
      <c r="AB56" s="145">
        <v>2.2800000010475774</v>
      </c>
    </row>
    <row r="57" spans="1:28" x14ac:dyDescent="0.15">
      <c r="A57" s="147">
        <v>45777</v>
      </c>
      <c r="B57" s="145">
        <v>2.0538799999999999</v>
      </c>
      <c r="C57" s="145">
        <v>0.12015000000000001</v>
      </c>
      <c r="D57" s="145">
        <v>1.0246200000000001</v>
      </c>
      <c r="E57" s="145">
        <v>-1.80552</v>
      </c>
      <c r="F57" s="145">
        <v>0.94738999999999995</v>
      </c>
      <c r="G57" s="145">
        <v>2.7960164695860268</v>
      </c>
      <c r="H57" s="145">
        <v>0.68000000368653168</v>
      </c>
      <c r="I57" s="145">
        <v>-0.69999999960077552</v>
      </c>
      <c r="J57" s="145">
        <v>1.2900000010321433</v>
      </c>
      <c r="K57" s="145">
        <v>1.91774</v>
      </c>
      <c r="L57" s="145">
        <v>-3.8089999999999999E-2</v>
      </c>
      <c r="M57" s="145">
        <v>5.0777599999999996</v>
      </c>
      <c r="N57" s="145">
        <v>0.58923000000000003</v>
      </c>
      <c r="O57" s="145">
        <v>0.75588</v>
      </c>
      <c r="P57" s="145">
        <v>2.894318627470005</v>
      </c>
      <c r="Q57" s="145">
        <v>3.2278899999999999</v>
      </c>
      <c r="R57" s="145">
        <v>-0.61904000000000003</v>
      </c>
      <c r="S57" s="145">
        <v>-0.69847999999999999</v>
      </c>
      <c r="T57" s="145">
        <v>1.19072</v>
      </c>
      <c r="U57" s="145">
        <v>-1.4917400000000001</v>
      </c>
      <c r="V57" s="145">
        <v>0</v>
      </c>
      <c r="W57" s="145">
        <v>3.90903</v>
      </c>
      <c r="X57" s="145">
        <v>-1.2890600000000001</v>
      </c>
      <c r="Y57" s="145">
        <v>-7.2880700000000003</v>
      </c>
      <c r="Z57" s="145">
        <v>0.45000000325030598</v>
      </c>
      <c r="AA57" s="145">
        <v>0.53611860514863752</v>
      </c>
      <c r="AB57" s="145">
        <v>-7.22000000021632</v>
      </c>
    </row>
    <row r="58" spans="1:28" x14ac:dyDescent="0.15">
      <c r="A58" s="147">
        <v>45808</v>
      </c>
      <c r="B58" s="145">
        <v>4.1471200000000001</v>
      </c>
      <c r="C58" s="145">
        <v>5.1945800000000002</v>
      </c>
      <c r="D58" s="145">
        <v>5.9340000000000002</v>
      </c>
      <c r="E58" s="145">
        <v>6.5373000000000001</v>
      </c>
      <c r="F58" s="145">
        <v>9.5247600000000006</v>
      </c>
      <c r="G58" s="145">
        <v>6.1600362420069166</v>
      </c>
      <c r="H58" s="145">
        <v>4.6499999976849837</v>
      </c>
      <c r="I58" s="145">
        <v>5.499999999610572</v>
      </c>
      <c r="J58" s="145">
        <v>6.2899999991199218</v>
      </c>
      <c r="K58" s="145">
        <v>5.8943599999999998</v>
      </c>
      <c r="L58" s="145">
        <v>7.1438300000000003</v>
      </c>
      <c r="M58" s="145">
        <v>4.3439199999999998</v>
      </c>
      <c r="N58" s="145">
        <v>3.84937</v>
      </c>
      <c r="O58" s="145">
        <v>5.7139899999999999</v>
      </c>
      <c r="P58" s="145">
        <v>7.7829574924285216</v>
      </c>
      <c r="Q58" s="145">
        <v>5.5659799999999997</v>
      </c>
      <c r="R58" s="145">
        <v>6.5669399999999998</v>
      </c>
      <c r="S58" s="145">
        <v>6.3993099999999998</v>
      </c>
      <c r="T58" s="145">
        <v>2.8719600000000001</v>
      </c>
      <c r="U58" s="145">
        <v>1.2439199999999999</v>
      </c>
      <c r="V58" s="145">
        <v>2.3650699999999998</v>
      </c>
      <c r="W58" s="145">
        <v>5.1983600000000001</v>
      </c>
      <c r="X58" s="145">
        <v>2.9679500000000001</v>
      </c>
      <c r="Y58" s="145">
        <v>3.0616500000000002</v>
      </c>
      <c r="Z58" s="145">
        <v>5.6500000017195351</v>
      </c>
      <c r="AA58" s="145">
        <v>7.4765111317200761</v>
      </c>
      <c r="AB58" s="145">
        <v>3.1099999991182736</v>
      </c>
    </row>
    <row r="59" spans="1:28" x14ac:dyDescent="0.15">
      <c r="A59" s="147">
        <v>45838</v>
      </c>
      <c r="B59" s="145">
        <v>3.1908699999999999</v>
      </c>
      <c r="C59" s="145">
        <v>4.3223599999999998</v>
      </c>
      <c r="D59" s="145">
        <v>4.1297499999999996</v>
      </c>
      <c r="E59" s="145">
        <v>5.15116</v>
      </c>
      <c r="F59" s="145">
        <v>5.7793999999999999</v>
      </c>
      <c r="G59" s="145">
        <v>2.7128336584670176</v>
      </c>
      <c r="H59" s="145">
        <v>0</v>
      </c>
      <c r="I59" s="145">
        <v>4.0400000002538183</v>
      </c>
      <c r="J59" s="145">
        <v>2.7200000003892555</v>
      </c>
      <c r="K59" s="145">
        <v>2.37636</v>
      </c>
      <c r="L59" s="145">
        <v>4.4676499999999999</v>
      </c>
      <c r="M59" s="145">
        <v>2.7446000000000002</v>
      </c>
      <c r="N59" s="145">
        <v>7.4939600000000004</v>
      </c>
      <c r="O59" s="145">
        <v>4.6393399999999998</v>
      </c>
      <c r="P59" s="145">
        <v>9.673143562702613</v>
      </c>
      <c r="Q59" s="145">
        <v>4.3838900000000001</v>
      </c>
      <c r="R59" s="145">
        <v>5.0460900000000004</v>
      </c>
      <c r="S59" s="145">
        <v>5.1183199999999998</v>
      </c>
      <c r="T59" s="145">
        <v>1.8160400000000001</v>
      </c>
      <c r="U59" s="145">
        <v>1.60256</v>
      </c>
      <c r="V59" s="145">
        <v>2.9620899999999999</v>
      </c>
      <c r="W59" s="145">
        <v>3.42116</v>
      </c>
      <c r="X59" s="145">
        <v>6.3028399999999998</v>
      </c>
      <c r="Y59" s="145">
        <v>3.9126799999999999</v>
      </c>
      <c r="Z59" s="145">
        <v>3.4199999953690607</v>
      </c>
      <c r="AA59" s="145">
        <v>4.7115142889289343</v>
      </c>
      <c r="AB59" s="145">
        <v>3.9300000009959701</v>
      </c>
    </row>
    <row r="60" spans="1:28" x14ac:dyDescent="0.15">
      <c r="A60" s="147">
        <v>45869</v>
      </c>
      <c r="B60" s="145">
        <v>-0.59182999999999997</v>
      </c>
      <c r="C60" s="145">
        <v>2.2201399999999998</v>
      </c>
      <c r="D60" s="145">
        <v>1.1390100000000001</v>
      </c>
      <c r="E60" s="145">
        <v>0.14828</v>
      </c>
      <c r="F60" s="145">
        <v>1.80972</v>
      </c>
      <c r="G60" s="145">
        <v>-0.36682691820507651</v>
      </c>
      <c r="H60" s="145">
        <v>-3.5300000012201571</v>
      </c>
      <c r="I60" s="145">
        <v>1.6900000000640736</v>
      </c>
      <c r="J60" s="145">
        <v>1.2000000003185685</v>
      </c>
      <c r="K60" s="145">
        <v>-1.9657</v>
      </c>
      <c r="L60" s="145">
        <v>1.8653599999999999</v>
      </c>
      <c r="M60" s="145">
        <v>-2.8805100000000001</v>
      </c>
      <c r="N60" s="145">
        <v>-1.8740600000000001</v>
      </c>
      <c r="O60" s="145">
        <v>1.02074</v>
      </c>
      <c r="P60" s="145">
        <v>7.2259454946691948</v>
      </c>
      <c r="Q60" s="145">
        <v>-0.11351</v>
      </c>
      <c r="R60" s="145">
        <v>2.1933199999999999</v>
      </c>
      <c r="S60" s="145">
        <v>2.2766700000000002</v>
      </c>
      <c r="T60" s="145">
        <v>9.5820000000000002E-2</v>
      </c>
      <c r="U60" s="145">
        <v>-2.7339600000000002</v>
      </c>
      <c r="V60" s="145">
        <v>-2.5891799999999998</v>
      </c>
      <c r="W60" s="145">
        <v>-2.8426999999999998</v>
      </c>
      <c r="X60" s="145">
        <v>2.1692</v>
      </c>
      <c r="Y60" s="145">
        <v>1.5588500000000001</v>
      </c>
      <c r="Z60" s="145">
        <v>-2.399999999999991</v>
      </c>
      <c r="AA60" s="145">
        <v>1.4915481960342822</v>
      </c>
      <c r="AB60" s="145">
        <v>1.5000000002672875</v>
      </c>
    </row>
    <row r="61" spans="1:28" x14ac:dyDescent="0.15">
      <c r="A61" s="147">
        <v>45900</v>
      </c>
      <c r="B61" s="145">
        <v>2.8798499999999998</v>
      </c>
      <c r="C61" s="145">
        <v>-0.18354000000000001</v>
      </c>
      <c r="D61" s="145">
        <v>2.1166900000000002</v>
      </c>
      <c r="E61" s="145">
        <v>3.4691200000000002</v>
      </c>
      <c r="F61" s="145">
        <v>-2.4208599999999998</v>
      </c>
      <c r="G61" s="145">
        <v>1.5463745268831985</v>
      </c>
      <c r="H61" s="145">
        <v>3.5500000008260812</v>
      </c>
      <c r="I61" s="145">
        <v>2.679999999827376</v>
      </c>
      <c r="J61" s="145">
        <v>1.6999999996862192</v>
      </c>
      <c r="K61" s="145">
        <v>1.8557999999999999</v>
      </c>
      <c r="L61" s="145">
        <v>1.5093799999999999</v>
      </c>
      <c r="M61" s="145">
        <v>4.7335200000000004</v>
      </c>
      <c r="N61" s="145">
        <v>1.2987</v>
      </c>
      <c r="O61" s="145">
        <v>2.6761599999999999</v>
      </c>
      <c r="P61" s="145">
        <v>4.8799999968904606</v>
      </c>
      <c r="Q61" s="145">
        <v>0.39772999999999997</v>
      </c>
      <c r="R61" s="145">
        <v>2.0035099999999999</v>
      </c>
      <c r="S61" s="145">
        <v>2.2676400000000001</v>
      </c>
      <c r="T61" s="145">
        <v>3.2739799999999999</v>
      </c>
      <c r="U61" s="145">
        <v>2.0540500000000002</v>
      </c>
      <c r="V61" s="145">
        <v>0.82693000000000005</v>
      </c>
      <c r="W61" s="145">
        <v>1.88557</v>
      </c>
      <c r="X61" s="145">
        <v>2.5477699999999999</v>
      </c>
      <c r="Y61" s="145">
        <v>0.95931999999999995</v>
      </c>
      <c r="Z61" s="145">
        <v>3.2399999994598527</v>
      </c>
      <c r="AA61" s="145">
        <v>1.2226569604837216</v>
      </c>
      <c r="AB61" s="145">
        <v>0.98999999947262385</v>
      </c>
    </row>
    <row r="62" spans="1:28" x14ac:dyDescent="0.15">
      <c r="A62" s="147">
        <v>45930</v>
      </c>
      <c r="B62" s="145">
        <v>0.58613000000000004</v>
      </c>
      <c r="C62" s="145">
        <v>0.58642000000000005</v>
      </c>
      <c r="D62" s="145">
        <v>2.87005</v>
      </c>
      <c r="E62" s="145">
        <v>5.5026900000000003</v>
      </c>
      <c r="F62" s="145">
        <v>1.70021</v>
      </c>
      <c r="G62" s="145">
        <v>3.480836974780277</v>
      </c>
      <c r="H62" s="145">
        <v>-2.0600000003116237</v>
      </c>
      <c r="I62" s="145">
        <v>0.5799999999455574</v>
      </c>
      <c r="J62" s="145">
        <v>1.550000000448537</v>
      </c>
      <c r="K62" s="145">
        <v>1.6125700000000001</v>
      </c>
      <c r="L62" s="145">
        <v>4.0566300000000002</v>
      </c>
      <c r="M62" s="145">
        <v>2.6761300000000001</v>
      </c>
      <c r="N62" s="145">
        <v>6.5610900000000001</v>
      </c>
      <c r="O62" s="145">
        <v>3.7121499999999998</v>
      </c>
      <c r="P62" s="145">
        <v>9.2100000017650849</v>
      </c>
      <c r="Q62" s="145">
        <v>2.6598799999999998</v>
      </c>
      <c r="R62" s="145">
        <v>3.5885899999999999</v>
      </c>
      <c r="S62" s="145">
        <v>3.4427400000000001</v>
      </c>
      <c r="T62" s="145">
        <v>1.8144</v>
      </c>
      <c r="U62" s="145">
        <v>5.2970000000000003E-2</v>
      </c>
      <c r="V62" s="145">
        <v>2.8119499999999999</v>
      </c>
      <c r="W62" s="145">
        <v>7.0835999999999997</v>
      </c>
      <c r="X62" s="145">
        <v>8.9026899999999998</v>
      </c>
      <c r="Y62" s="145">
        <v>0.34190999999999999</v>
      </c>
      <c r="Z62" s="145">
        <v>0.19999999895363718</v>
      </c>
      <c r="AA62" s="145">
        <v>2.0843665789921895</v>
      </c>
      <c r="AB62" s="145">
        <v>0.3699999998857173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66D03-FFA4-4094-9338-4C17F51F9425}">
  <sheetPr codeName="Sheet10"/>
  <dimension ref="B3:U15"/>
  <sheetViews>
    <sheetView showGridLines="0" workbookViewId="0">
      <selection activeCell="H15" sqref="H15"/>
    </sheetView>
  </sheetViews>
  <sheetFormatPr baseColWidth="10" defaultColWidth="9" defaultRowHeight="14" x14ac:dyDescent="0.2"/>
  <cols>
    <col min="1" max="1" width="1.1640625" style="127" customWidth="1"/>
    <col min="2" max="2" width="13.5" style="127" customWidth="1"/>
    <col min="3" max="3" width="28.6640625" style="127" bestFit="1" customWidth="1"/>
    <col min="4" max="4" width="9" style="127"/>
    <col min="5" max="5" width="9" style="128" customWidth="1"/>
    <col min="6" max="6" width="1.6640625" style="127" customWidth="1"/>
    <col min="7" max="7" width="22.1640625" style="127" customWidth="1"/>
    <col min="8" max="8" width="9" style="127"/>
    <col min="9" max="9" width="9" style="127" customWidth="1"/>
    <col min="10" max="10" width="1.6640625" style="127" customWidth="1"/>
    <col min="11" max="11" width="24.83203125" style="127" customWidth="1"/>
    <col min="12" max="12" width="9" style="127"/>
    <col min="13" max="13" width="9" style="127" customWidth="1"/>
    <col min="14" max="14" width="1.6640625" style="127" customWidth="1"/>
    <col min="15" max="15" width="18.1640625" style="127" customWidth="1"/>
    <col min="16" max="17" width="9" style="127"/>
    <col min="18" max="18" width="2.83203125" style="127" customWidth="1"/>
    <col min="19" max="19" width="18.5" style="127" customWidth="1"/>
    <col min="20" max="21" width="5.33203125" style="127" bestFit="1" customWidth="1"/>
    <col min="22" max="16384" width="9" style="127"/>
  </cols>
  <sheetData>
    <row r="3" spans="2:21" s="129" customFormat="1" x14ac:dyDescent="0.2">
      <c r="C3" s="130" t="s">
        <v>1</v>
      </c>
      <c r="D3" s="131"/>
      <c r="E3" s="132"/>
      <c r="F3" s="130"/>
      <c r="G3" s="133" t="s">
        <v>5</v>
      </c>
      <c r="H3" s="131"/>
      <c r="I3" s="130"/>
      <c r="J3" s="134"/>
      <c r="K3" s="135" t="s">
        <v>2</v>
      </c>
      <c r="L3" s="131"/>
      <c r="M3" s="135"/>
      <c r="N3" s="135"/>
      <c r="O3" s="136" t="s">
        <v>3</v>
      </c>
      <c r="P3" s="137"/>
      <c r="Q3" s="137"/>
      <c r="R3" s="137"/>
      <c r="S3" s="138" t="s">
        <v>4</v>
      </c>
    </row>
    <row r="4" spans="2:21" x14ac:dyDescent="0.2">
      <c r="B4" s="122" t="s">
        <v>26</v>
      </c>
      <c r="C4" s="123" t="s">
        <v>65</v>
      </c>
      <c r="D4" s="121">
        <v>0.25</v>
      </c>
      <c r="E4" s="128">
        <f>D4/0.6</f>
        <v>0.41666666666666669</v>
      </c>
      <c r="F4" s="123"/>
      <c r="G4" s="123" t="s">
        <v>27</v>
      </c>
      <c r="H4" s="125">
        <v>0.25</v>
      </c>
      <c r="I4" s="128">
        <f>H4/0.6</f>
        <v>0.41666666666666669</v>
      </c>
      <c r="J4" s="124"/>
      <c r="K4" s="126" t="s">
        <v>64</v>
      </c>
      <c r="L4" s="125">
        <v>0.25</v>
      </c>
      <c r="M4" s="128">
        <f>L4/0.6</f>
        <v>0.41666666666666669</v>
      </c>
      <c r="N4" s="126"/>
      <c r="O4" s="126" t="s">
        <v>64</v>
      </c>
      <c r="P4" s="125">
        <v>0.25</v>
      </c>
      <c r="Q4" s="128">
        <f>P4/0.6</f>
        <v>0.41666666666666669</v>
      </c>
      <c r="R4" s="120"/>
      <c r="S4" s="123" t="s">
        <v>27</v>
      </c>
      <c r="T4" s="125">
        <v>0.25</v>
      </c>
      <c r="U4" s="128">
        <f>T4/0.6</f>
        <v>0.41666666666666669</v>
      </c>
    </row>
    <row r="5" spans="2:21" x14ac:dyDescent="0.2">
      <c r="B5" s="122"/>
      <c r="C5" s="123"/>
      <c r="D5" s="121"/>
      <c r="F5" s="123"/>
      <c r="G5" s="126"/>
      <c r="H5" s="121"/>
      <c r="I5" s="128"/>
      <c r="J5" s="123"/>
      <c r="K5" s="126" t="s">
        <v>34</v>
      </c>
      <c r="L5" s="121">
        <v>0.05</v>
      </c>
      <c r="M5" s="128">
        <f t="shared" ref="M5:M13" si="0">L5/0.6</f>
        <v>8.3333333333333343E-2</v>
      </c>
      <c r="N5" s="123"/>
      <c r="O5" s="126"/>
      <c r="P5" s="121"/>
      <c r="Q5" s="128"/>
      <c r="R5" s="121"/>
      <c r="S5" s="126"/>
      <c r="T5" s="121"/>
      <c r="U5" s="128"/>
    </row>
    <row r="6" spans="2:21" x14ac:dyDescent="0.2">
      <c r="B6" s="122" t="s">
        <v>28</v>
      </c>
      <c r="C6" s="123" t="s">
        <v>29</v>
      </c>
      <c r="D6" s="121">
        <v>0.12</v>
      </c>
      <c r="E6" s="128">
        <f t="shared" ref="E6:E13" si="1">D6/0.6</f>
        <v>0.2</v>
      </c>
      <c r="F6" s="123"/>
      <c r="G6" s="126" t="s">
        <v>30</v>
      </c>
      <c r="H6" s="121">
        <v>0.06</v>
      </c>
      <c r="I6" s="128">
        <f t="shared" ref="I6:I13" si="2">H6/0.6</f>
        <v>0.1</v>
      </c>
      <c r="J6" s="123"/>
      <c r="K6" s="126" t="s">
        <v>30</v>
      </c>
      <c r="L6" s="121">
        <v>0.06</v>
      </c>
      <c r="M6" s="128">
        <f t="shared" si="0"/>
        <v>0.1</v>
      </c>
      <c r="N6" s="123"/>
      <c r="O6" s="126" t="s">
        <v>30</v>
      </c>
      <c r="P6" s="121">
        <v>0.06</v>
      </c>
      <c r="Q6" s="128">
        <f t="shared" ref="Q6:Q13" si="3">P6/0.6</f>
        <v>0.1</v>
      </c>
      <c r="R6" s="121"/>
      <c r="S6" s="123"/>
      <c r="T6" s="123"/>
      <c r="U6" s="128"/>
    </row>
    <row r="7" spans="2:21" x14ac:dyDescent="0.2">
      <c r="B7" s="122"/>
      <c r="C7" s="126" t="s">
        <v>31</v>
      </c>
      <c r="D7" s="121">
        <v>0.04</v>
      </c>
      <c r="E7" s="128">
        <f t="shared" si="1"/>
        <v>6.6666666666666666E-2</v>
      </c>
      <c r="F7" s="123"/>
      <c r="G7" s="126" t="s">
        <v>31</v>
      </c>
      <c r="H7" s="121">
        <v>0.08</v>
      </c>
      <c r="I7" s="128">
        <f t="shared" si="2"/>
        <v>0.13333333333333333</v>
      </c>
      <c r="J7" s="123"/>
      <c r="K7" s="126"/>
      <c r="L7" s="121"/>
      <c r="M7" s="128"/>
      <c r="N7" s="123"/>
      <c r="O7" s="126" t="s">
        <v>31</v>
      </c>
      <c r="P7" s="121">
        <v>7.0000000000000007E-2</v>
      </c>
      <c r="Q7" s="128">
        <f t="shared" si="3"/>
        <v>0.11666666666666668</v>
      </c>
      <c r="R7" s="121"/>
      <c r="S7" s="126" t="s">
        <v>31</v>
      </c>
      <c r="T7" s="121">
        <v>0.11</v>
      </c>
      <c r="U7" s="128">
        <f t="shared" ref="U7:U13" si="4">T7/0.6</f>
        <v>0.18333333333333335</v>
      </c>
    </row>
    <row r="8" spans="2:21" x14ac:dyDescent="0.2">
      <c r="B8" s="122"/>
      <c r="C8" s="126" t="s">
        <v>32</v>
      </c>
      <c r="D8" s="121">
        <v>7.0000000000000007E-2</v>
      </c>
      <c r="E8" s="128">
        <f t="shared" si="1"/>
        <v>0.11666666666666668</v>
      </c>
      <c r="F8" s="123"/>
      <c r="G8" s="126" t="s">
        <v>32</v>
      </c>
      <c r="H8" s="121">
        <v>0.08</v>
      </c>
      <c r="I8" s="128">
        <f t="shared" si="2"/>
        <v>0.13333333333333333</v>
      </c>
      <c r="J8" s="123"/>
      <c r="K8" s="126" t="s">
        <v>32</v>
      </c>
      <c r="L8" s="121">
        <v>0.06</v>
      </c>
      <c r="M8" s="128">
        <f t="shared" si="0"/>
        <v>0.1</v>
      </c>
      <c r="N8" s="123"/>
      <c r="O8" s="126" t="s">
        <v>32</v>
      </c>
      <c r="P8" s="121">
        <v>7.0000000000000007E-2</v>
      </c>
      <c r="Q8" s="128">
        <f t="shared" si="3"/>
        <v>0.11666666666666668</v>
      </c>
      <c r="R8" s="121"/>
      <c r="S8" s="126" t="s">
        <v>32</v>
      </c>
      <c r="T8" s="121">
        <v>0.11</v>
      </c>
      <c r="U8" s="128">
        <f t="shared" si="4"/>
        <v>0.18333333333333335</v>
      </c>
    </row>
    <row r="9" spans="2:21" x14ac:dyDescent="0.2">
      <c r="B9" s="122" t="s">
        <v>60</v>
      </c>
      <c r="C9" s="139" t="s">
        <v>414</v>
      </c>
      <c r="D9" s="121">
        <v>0.04</v>
      </c>
      <c r="E9" s="128">
        <f t="shared" si="1"/>
        <v>6.6666666666666666E-2</v>
      </c>
      <c r="F9" s="123"/>
      <c r="G9" s="126"/>
      <c r="H9" s="121"/>
      <c r="I9" s="128"/>
      <c r="J9" s="123"/>
      <c r="K9" s="126" t="s">
        <v>61</v>
      </c>
      <c r="L9" s="121">
        <v>0.05</v>
      </c>
      <c r="M9" s="128">
        <f t="shared" si="0"/>
        <v>8.3333333333333343E-2</v>
      </c>
      <c r="N9" s="123"/>
      <c r="O9" s="126"/>
      <c r="P9" s="121"/>
      <c r="Q9" s="128"/>
      <c r="R9" s="121"/>
      <c r="S9" s="126"/>
      <c r="T9" s="121"/>
      <c r="U9" s="128"/>
    </row>
    <row r="10" spans="2:21" x14ac:dyDescent="0.2">
      <c r="B10" s="122"/>
      <c r="C10" s="123"/>
      <c r="D10" s="121"/>
      <c r="F10" s="123"/>
      <c r="G10" s="126"/>
      <c r="H10" s="121"/>
      <c r="I10" s="128"/>
      <c r="J10" s="123"/>
      <c r="K10" s="126"/>
      <c r="L10" s="121"/>
      <c r="M10" s="128"/>
      <c r="N10" s="123"/>
      <c r="O10" s="126"/>
      <c r="P10" s="121"/>
      <c r="Q10" s="128"/>
      <c r="R10" s="121"/>
      <c r="S10" s="126"/>
      <c r="T10" s="121"/>
      <c r="U10" s="128"/>
    </row>
    <row r="11" spans="2:21" x14ac:dyDescent="0.2">
      <c r="B11" s="122" t="s">
        <v>33</v>
      </c>
      <c r="C11" s="123" t="s">
        <v>59</v>
      </c>
      <c r="D11" s="121">
        <v>0.04</v>
      </c>
      <c r="E11" s="128">
        <f t="shared" si="1"/>
        <v>6.6666666666666666E-2</v>
      </c>
      <c r="F11" s="123"/>
      <c r="G11" s="123" t="s">
        <v>59</v>
      </c>
      <c r="H11" s="121">
        <v>0.04</v>
      </c>
      <c r="I11" s="128">
        <f t="shared" si="2"/>
        <v>6.6666666666666666E-2</v>
      </c>
      <c r="J11" s="123"/>
      <c r="K11" s="126" t="s">
        <v>92</v>
      </c>
      <c r="L11" s="125">
        <v>0.04</v>
      </c>
      <c r="M11" s="128">
        <f t="shared" si="0"/>
        <v>6.6666666666666666E-2</v>
      </c>
      <c r="N11" s="124"/>
      <c r="O11" s="126" t="s">
        <v>91</v>
      </c>
      <c r="P11" s="125">
        <v>0.03</v>
      </c>
      <c r="Q11" s="128">
        <f t="shared" si="3"/>
        <v>0.05</v>
      </c>
      <c r="R11" s="120"/>
      <c r="S11" s="124"/>
      <c r="T11" s="120"/>
      <c r="U11" s="128"/>
    </row>
    <row r="12" spans="2:21" x14ac:dyDescent="0.2">
      <c r="B12" s="122"/>
      <c r="C12" s="123"/>
      <c r="D12" s="121"/>
      <c r="F12" s="123"/>
      <c r="G12" s="126"/>
      <c r="H12" s="121"/>
      <c r="I12" s="128"/>
      <c r="J12" s="123"/>
      <c r="K12" s="123"/>
      <c r="L12" s="123"/>
      <c r="M12" s="128"/>
      <c r="N12" s="123"/>
      <c r="O12" s="126" t="s">
        <v>36</v>
      </c>
      <c r="P12" s="121">
        <v>0.03</v>
      </c>
      <c r="Q12" s="128">
        <f t="shared" si="3"/>
        <v>0.05</v>
      </c>
      <c r="R12" s="121"/>
      <c r="S12" s="126" t="s">
        <v>34</v>
      </c>
      <c r="T12" s="121">
        <v>0.04</v>
      </c>
      <c r="U12" s="128">
        <f t="shared" si="4"/>
        <v>6.6666666666666666E-2</v>
      </c>
    </row>
    <row r="13" spans="2:21" x14ac:dyDescent="0.2">
      <c r="B13" s="122" t="s">
        <v>37</v>
      </c>
      <c r="C13" s="126" t="s">
        <v>38</v>
      </c>
      <c r="D13" s="121">
        <v>0.04</v>
      </c>
      <c r="E13" s="128">
        <f t="shared" si="1"/>
        <v>6.6666666666666666E-2</v>
      </c>
      <c r="F13" s="123"/>
      <c r="G13" s="126" t="s">
        <v>38</v>
      </c>
      <c r="H13" s="121">
        <v>0.04</v>
      </c>
      <c r="I13" s="128">
        <f t="shared" si="2"/>
        <v>6.6666666666666666E-2</v>
      </c>
      <c r="J13" s="123"/>
      <c r="K13" s="126" t="s">
        <v>38</v>
      </c>
      <c r="L13" s="121">
        <v>0.04</v>
      </c>
      <c r="M13" s="128">
        <f t="shared" si="0"/>
        <v>6.6666666666666666E-2</v>
      </c>
      <c r="N13" s="123"/>
      <c r="O13" s="126" t="s">
        <v>38</v>
      </c>
      <c r="P13" s="121">
        <v>0.04</v>
      </c>
      <c r="Q13" s="128">
        <f t="shared" si="3"/>
        <v>6.6666666666666666E-2</v>
      </c>
      <c r="R13" s="121"/>
      <c r="S13" s="126" t="s">
        <v>38</v>
      </c>
      <c r="T13" s="121">
        <v>0.04</v>
      </c>
      <c r="U13" s="128">
        <f t="shared" si="4"/>
        <v>6.6666666666666666E-2</v>
      </c>
    </row>
    <row r="15" spans="2:21" x14ac:dyDescent="0.2">
      <c r="D15" s="140">
        <f>SUM(D4:D14)</f>
        <v>0.60000000000000009</v>
      </c>
      <c r="E15" s="140">
        <f t="shared" ref="E15:U15" si="5">SUM(E4:E14)</f>
        <v>1</v>
      </c>
      <c r="F15" s="140"/>
      <c r="G15" s="140"/>
      <c r="H15" s="140">
        <f t="shared" si="5"/>
        <v>0.55000000000000004</v>
      </c>
      <c r="I15" s="140">
        <f t="shared" si="5"/>
        <v>0.91666666666666663</v>
      </c>
      <c r="J15" s="140"/>
      <c r="K15" s="140"/>
      <c r="L15" s="140">
        <f t="shared" si="5"/>
        <v>0.55000000000000004</v>
      </c>
      <c r="M15" s="140">
        <f t="shared" si="5"/>
        <v>0.91666666666666663</v>
      </c>
      <c r="N15" s="140"/>
      <c r="O15" s="140"/>
      <c r="P15" s="140">
        <f t="shared" si="5"/>
        <v>0.55000000000000004</v>
      </c>
      <c r="Q15" s="140">
        <f t="shared" si="5"/>
        <v>0.91666666666666685</v>
      </c>
      <c r="R15" s="140"/>
      <c r="S15" s="140"/>
      <c r="T15" s="140">
        <f t="shared" si="5"/>
        <v>0.55000000000000004</v>
      </c>
      <c r="U15" s="140">
        <f t="shared" si="5"/>
        <v>0.91666666666666674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F7A18-8660-478E-A81D-80C6C8BD2CF7}">
  <sheetPr codeName="Sheet11"/>
  <dimension ref="A1:BV69"/>
  <sheetViews>
    <sheetView workbookViewId="0">
      <selection activeCell="D55" sqref="D55"/>
    </sheetView>
  </sheetViews>
  <sheetFormatPr baseColWidth="10" defaultColWidth="9" defaultRowHeight="10" x14ac:dyDescent="0.15"/>
  <cols>
    <col min="1" max="1" width="13.6640625" style="152" customWidth="1"/>
    <col min="2" max="8" width="9" style="141"/>
    <col min="9" max="9" width="11.5" style="141" customWidth="1"/>
    <col min="10" max="37" width="9" style="141"/>
    <col min="38" max="38" width="7.6640625" style="152" bestFit="1" customWidth="1"/>
    <col min="39" max="16384" width="9" style="141"/>
  </cols>
  <sheetData>
    <row r="1" spans="1:74" s="110" customFormat="1" ht="44" x14ac:dyDescent="0.2">
      <c r="A1" s="165" t="s">
        <v>427</v>
      </c>
      <c r="B1" s="155" t="e">
        <f>#REF!</f>
        <v>#REF!</v>
      </c>
      <c r="C1" s="155" t="e">
        <f>#REF!</f>
        <v>#REF!</v>
      </c>
      <c r="D1" s="155" t="e">
        <f>#REF!</f>
        <v>#REF!</v>
      </c>
      <c r="E1" s="155" t="e">
        <f>#REF!</f>
        <v>#REF!</v>
      </c>
      <c r="F1" s="155" t="e">
        <f>#REF!</f>
        <v>#REF!</v>
      </c>
      <c r="G1" s="156" t="s">
        <v>425</v>
      </c>
      <c r="H1" s="156"/>
      <c r="I1" s="166" t="s">
        <v>426</v>
      </c>
      <c r="J1" s="155" t="e">
        <f>B1</f>
        <v>#REF!</v>
      </c>
      <c r="K1" s="155" t="e">
        <f t="shared" ref="K1:O1" si="0">C1</f>
        <v>#REF!</v>
      </c>
      <c r="L1" s="155" t="e">
        <f t="shared" si="0"/>
        <v>#REF!</v>
      </c>
      <c r="M1" s="155" t="e">
        <f t="shared" si="0"/>
        <v>#REF!</v>
      </c>
      <c r="N1" s="155" t="e">
        <f t="shared" si="0"/>
        <v>#REF!</v>
      </c>
      <c r="O1" s="155" t="str">
        <f t="shared" si="0"/>
        <v>MSCI ACWI</v>
      </c>
      <c r="P1" s="156"/>
      <c r="Q1" s="156" t="s">
        <v>428</v>
      </c>
      <c r="R1" s="167" t="e">
        <f>B1</f>
        <v>#REF!</v>
      </c>
      <c r="S1" s="167" t="e">
        <f t="shared" ref="S1:V1" si="1">C1</f>
        <v>#REF!</v>
      </c>
      <c r="T1" s="167" t="e">
        <f t="shared" si="1"/>
        <v>#REF!</v>
      </c>
      <c r="U1" s="167" t="e">
        <f t="shared" si="1"/>
        <v>#REF!</v>
      </c>
      <c r="V1" s="167" t="e">
        <f t="shared" si="1"/>
        <v>#REF!</v>
      </c>
      <c r="W1" s="155"/>
      <c r="X1" s="155"/>
      <c r="Y1" s="155"/>
      <c r="Z1" s="155"/>
      <c r="AA1" s="155"/>
      <c r="AB1" s="155"/>
      <c r="AC1" s="155"/>
      <c r="AD1" s="155"/>
      <c r="AE1" s="155"/>
      <c r="AF1" s="155"/>
      <c r="AG1" s="155"/>
      <c r="AH1" s="155"/>
      <c r="AI1" s="155"/>
      <c r="AJ1" s="155"/>
      <c r="AL1" s="164"/>
      <c r="AM1" s="110" t="e">
        <f t="array" ref="AM1:BV1">TRANSPOSE(#REF!)</f>
        <v>#REF!</v>
      </c>
      <c r="AN1" s="110" t="e">
        <v>#REF!</v>
      </c>
      <c r="AO1" s="110" t="e">
        <v>#REF!</v>
      </c>
      <c r="AP1" s="110" t="e">
        <v>#REF!</v>
      </c>
      <c r="AQ1" s="110" t="e">
        <v>#REF!</v>
      </c>
      <c r="AR1" s="110" t="e">
        <v>#REF!</v>
      </c>
      <c r="AS1" s="110" t="e">
        <v>#REF!</v>
      </c>
      <c r="AT1" s="110" t="e">
        <v>#REF!</v>
      </c>
      <c r="AU1" s="110" t="e">
        <v>#REF!</v>
      </c>
      <c r="AV1" s="110" t="e">
        <v>#REF!</v>
      </c>
      <c r="AW1" s="110" t="e">
        <v>#REF!</v>
      </c>
      <c r="AX1" s="110" t="e">
        <v>#REF!</v>
      </c>
      <c r="AY1" s="110" t="e">
        <v>#REF!</v>
      </c>
      <c r="AZ1" s="110" t="e">
        <v>#REF!</v>
      </c>
      <c r="BA1" s="110" t="e">
        <v>#REF!</v>
      </c>
      <c r="BB1" s="110" t="e">
        <v>#REF!</v>
      </c>
      <c r="BC1" s="110" t="e">
        <v>#REF!</v>
      </c>
      <c r="BD1" s="110" t="e">
        <v>#REF!</v>
      </c>
      <c r="BE1" s="110" t="e">
        <v>#REF!</v>
      </c>
      <c r="BF1" s="110" t="e">
        <v>#REF!</v>
      </c>
      <c r="BG1" s="110" t="e">
        <v>#REF!</v>
      </c>
      <c r="BH1" s="110" t="e">
        <v>#REF!</v>
      </c>
      <c r="BI1" s="110" t="e">
        <v>#REF!</v>
      </c>
      <c r="BJ1" s="110" t="e">
        <v>#REF!</v>
      </c>
      <c r="BK1" s="110" t="e">
        <v>#REF!</v>
      </c>
      <c r="BL1" s="110" t="e">
        <v>#REF!</v>
      </c>
      <c r="BM1" s="110" t="e">
        <v>#REF!</v>
      </c>
      <c r="BN1" s="110" t="e">
        <v>#REF!</v>
      </c>
      <c r="BO1" s="110" t="e">
        <v>#REF!</v>
      </c>
      <c r="BP1" s="110" t="e">
        <v>#REF!</v>
      </c>
      <c r="BQ1" s="110" t="e">
        <v>#REF!</v>
      </c>
      <c r="BR1" s="110" t="e">
        <v>#REF!</v>
      </c>
      <c r="BS1" s="110" t="e">
        <v>#REF!</v>
      </c>
      <c r="BT1" s="110" t="e">
        <v>#REF!</v>
      </c>
      <c r="BU1" s="110" t="e">
        <v>#REF!</v>
      </c>
      <c r="BV1" s="110" t="e">
        <v>#REF!</v>
      </c>
    </row>
    <row r="2" spans="1:74" x14ac:dyDescent="0.15">
      <c r="A2" s="151">
        <f>AL2</f>
        <v>44104</v>
      </c>
      <c r="B2" s="148" t="e" cm="1">
        <f t="array" ref="B2">SUMPRODUCT(TRANSPOSE(#REF!),Perf!$AM2:$BN2)/100</f>
        <v>#REF!</v>
      </c>
      <c r="C2" s="148" t="e" cm="1">
        <f t="array" ref="C2">SUMPRODUCT(TRANSPOSE(#REF!),Perf!$AM2:$BN2)/100</f>
        <v>#REF!</v>
      </c>
      <c r="D2" s="148" t="e" cm="1">
        <f t="array" ref="D2">SUMPRODUCT(TRANSPOSE(#REF!),Perf!$AM2:$BN2)/100</f>
        <v>#REF!</v>
      </c>
      <c r="E2" s="148" t="e" cm="1">
        <f t="array" ref="E2">SUMPRODUCT(TRANSPOSE(#REF!),Perf!$AM2:$BN2)/100</f>
        <v>#REF!</v>
      </c>
      <c r="F2" s="148" t="e" cm="1">
        <f t="array" ref="F2">SUMPRODUCT(TRANSPOSE(#REF!),Perf!$AM2:$BN2)/100</f>
        <v>#REF!</v>
      </c>
      <c r="G2" s="148" t="e">
        <f>BM2/100</f>
        <v>#REF!</v>
      </c>
      <c r="H2" s="148"/>
      <c r="I2" s="160">
        <v>44074</v>
      </c>
      <c r="J2" s="148">
        <v>1</v>
      </c>
      <c r="K2" s="148">
        <v>1</v>
      </c>
      <c r="L2" s="148">
        <v>1</v>
      </c>
      <c r="M2" s="148">
        <v>1</v>
      </c>
      <c r="N2" s="148">
        <v>1</v>
      </c>
      <c r="O2" s="148">
        <v>1</v>
      </c>
      <c r="P2" s="148"/>
      <c r="Q2" s="160">
        <f>A2</f>
        <v>44104</v>
      </c>
      <c r="R2" s="148" t="e">
        <f>B2-$G2</f>
        <v>#REF!</v>
      </c>
      <c r="S2" s="148" t="e">
        <f t="shared" ref="S2:V2" si="2">C2-$G2</f>
        <v>#REF!</v>
      </c>
      <c r="T2" s="148" t="e">
        <f t="shared" si="2"/>
        <v>#REF!</v>
      </c>
      <c r="U2" s="148" t="e">
        <f t="shared" si="2"/>
        <v>#REF!</v>
      </c>
      <c r="V2" s="148" t="e">
        <f t="shared" si="2"/>
        <v>#REF!</v>
      </c>
      <c r="W2" s="148"/>
      <c r="X2" s="148"/>
      <c r="Y2" s="148"/>
      <c r="Z2" s="148"/>
      <c r="AA2" s="148"/>
      <c r="AB2" s="148"/>
      <c r="AC2" s="148"/>
      <c r="AD2" s="148"/>
      <c r="AE2" s="160"/>
      <c r="AF2" s="148"/>
      <c r="AG2" s="148"/>
      <c r="AH2" s="148"/>
      <c r="AI2" s="148"/>
      <c r="AJ2" s="148"/>
      <c r="AL2" s="151">
        <f>DB!A2</f>
        <v>44104</v>
      </c>
      <c r="AM2" s="149" t="e">
        <f>INDEX(DB!$B$2:$AB$62,MATCH(Perf!$AL2,DB!$A$2:$A$62,0),MATCH(Perf!AM$1,DB!$B$1:$AB$1,0))</f>
        <v>#REF!</v>
      </c>
      <c r="AN2" s="149" t="e">
        <f>INDEX(DB!$B$2:$AB$62,MATCH(Perf!$AL2,DB!$A$2:$A$62,0),MATCH(Perf!AN$1,DB!$B$1:$AB$1,0))</f>
        <v>#REF!</v>
      </c>
      <c r="AO2" s="149" t="e">
        <f>INDEX(DB!$B$2:$AB$62,MATCH(Perf!$AL2,DB!$A$2:$A$62,0),MATCH(Perf!AO$1,DB!$B$1:$AB$1,0))</f>
        <v>#REF!</v>
      </c>
      <c r="AP2" s="149" t="e">
        <f>INDEX(DB!$B$2:$AB$62,MATCH(Perf!$AL2,DB!$A$2:$A$62,0),MATCH(Perf!AP$1,DB!$B$1:$AB$1,0))</f>
        <v>#REF!</v>
      </c>
      <c r="AQ2" s="149" t="e">
        <f>INDEX(DB!$B$2:$AB$62,MATCH(Perf!$AL2,DB!$A$2:$A$62,0),MATCH(Perf!AQ$1,DB!$B$1:$AB$1,0))</f>
        <v>#REF!</v>
      </c>
      <c r="AR2" s="149" t="e">
        <f>INDEX(DB!$B$2:$AB$62,MATCH(Perf!$AL2,DB!$A$2:$A$62,0),MATCH(Perf!AR$1,DB!$B$1:$AB$1,0))</f>
        <v>#REF!</v>
      </c>
      <c r="AS2" s="149" t="e">
        <f>INDEX(DB!$B$2:$AB$62,MATCH(Perf!$AL2,DB!$A$2:$A$62,0),MATCH(Perf!AS$1,DB!$B$1:$AB$1,0))</f>
        <v>#REF!</v>
      </c>
      <c r="AT2" s="149" t="e">
        <f>INDEX(DB!$B$2:$AB$62,MATCH(Perf!$AL2,DB!$A$2:$A$62,0),MATCH(Perf!AT$1,DB!$B$1:$AB$1,0))</f>
        <v>#REF!</v>
      </c>
      <c r="AU2" s="150" t="e">
        <f t="shared" ref="AU2:AU18" si="3">AN2</f>
        <v>#REF!</v>
      </c>
      <c r="AV2" s="150" t="e">
        <f t="shared" ref="AV2:AW41" si="4">0.5*AX2+0.5*BG2</f>
        <v>#REF!</v>
      </c>
      <c r="AW2" s="154" t="e">
        <f t="shared" si="4"/>
        <v>#REF!</v>
      </c>
      <c r="AX2" s="149" t="e">
        <f>INDEX(DB!$B$2:$AB$62,MATCH(Perf!$AL2,DB!$A$2:$A$62,0),MATCH(Perf!AX$1,DB!$B$1:$AB$1,0))</f>
        <v>#REF!</v>
      </c>
      <c r="AY2" s="150" t="e">
        <f t="shared" ref="AY2:AY19" si="5">AM2</f>
        <v>#REF!</v>
      </c>
      <c r="AZ2" s="149" t="e">
        <f>INDEX(DB!$B$2:$AB$62,MATCH(Perf!$AL2,DB!$A$2:$A$62,0),MATCH(Perf!AZ$1,DB!$B$1:$AB$1,0))</f>
        <v>#REF!</v>
      </c>
      <c r="BA2" s="149" t="e">
        <f>INDEX(DB!$B$2:$AB$62,MATCH(Perf!$AL2,DB!$A$2:$A$62,0),MATCH(Perf!BA$1,DB!$B$1:$AB$1,0))</f>
        <v>#REF!</v>
      </c>
      <c r="BB2" s="150" t="e">
        <f t="shared" ref="BB2:BB4" si="6">BM2</f>
        <v>#REF!</v>
      </c>
      <c r="BC2" s="149" t="e">
        <f>INDEX(DB!$B$2:$AB$62,MATCH(Perf!$AL2,DB!$A$2:$A$62,0),MATCH(Perf!BC$1,DB!$B$1:$AB$1,0))</f>
        <v>#REF!</v>
      </c>
      <c r="BD2" s="149" t="e">
        <f>INDEX(DB!$B$2:$AB$62,MATCH(Perf!$AL2,DB!$A$2:$A$62,0),MATCH(Perf!BD$1,DB!$B$1:$AB$1,0))</f>
        <v>#REF!</v>
      </c>
      <c r="BE2" s="149" t="e">
        <f>INDEX(DB!$B$2:$AB$62,MATCH(Perf!$AL2,DB!$A$2:$A$62,0),MATCH(Perf!BE$1,DB!$B$1:$AB$1,0))</f>
        <v>#REF!</v>
      </c>
      <c r="BF2" s="149" t="e">
        <f>INDEX(DB!$B$2:$AB$62,MATCH(Perf!$AL2,DB!$A$2:$A$62,0),MATCH(Perf!BF$1,DB!$B$1:$AB$1,0))</f>
        <v>#REF!</v>
      </c>
      <c r="BG2" s="149" t="e">
        <f>INDEX(DB!$B$2:$AB$62,MATCH(Perf!$AL2,DB!$A$2:$A$62,0),MATCH(Perf!BG$1,DB!$B$1:$AB$1,0))</f>
        <v>#REF!</v>
      </c>
      <c r="BH2" s="149" t="e">
        <f>INDEX(DB!$B$2:$AB$62,MATCH(Perf!$AL2,DB!$A$2:$A$62,0),MATCH(Perf!BH$1,DB!$B$1:$AB$1,0))</f>
        <v>#REF!</v>
      </c>
      <c r="BI2" s="149" t="e">
        <f>INDEX(DB!$B$2:$AB$62,MATCH(Perf!$AL2,DB!$A$2:$A$62,0),MATCH(Perf!BI$1,DB!$B$1:$AB$1,0))</f>
        <v>#REF!</v>
      </c>
      <c r="BJ2" s="149" t="e">
        <f>0.5*BI2+0.5*AT2</f>
        <v>#REF!</v>
      </c>
      <c r="BK2" s="149" t="e">
        <f>INDEX(DB!$B$2:$AB$62,MATCH(Perf!$AL2,DB!$A$2:$A$62,0),MATCH(Perf!BK$1,DB!$B$1:$AB$1,0))</f>
        <v>#REF!</v>
      </c>
      <c r="BL2" s="150" t="e">
        <f t="shared" ref="BL2:BL27" si="7">BF2</f>
        <v>#REF!</v>
      </c>
      <c r="BM2" s="149" t="e">
        <f>INDEX(DB!$B$2:$AB$62,MATCH(Perf!$AL2,DB!$A$2:$A$62,0),MATCH(Perf!BM$1,DB!$B$1:$AB$1,0))</f>
        <v>#REF!</v>
      </c>
    </row>
    <row r="3" spans="1:74" x14ac:dyDescent="0.15">
      <c r="A3" s="151">
        <f t="shared" ref="A3:A62" si="8">AL3</f>
        <v>44135</v>
      </c>
      <c r="B3" s="148" t="e" cm="1">
        <f t="array" ref="B3">SUMPRODUCT(TRANSPOSE(#REF!),Perf!$AM3:$BN3)/100</f>
        <v>#REF!</v>
      </c>
      <c r="C3" s="148" t="e" cm="1">
        <f t="array" ref="C3">SUMPRODUCT(TRANSPOSE(#REF!),Perf!$AM3:$BN3)/100</f>
        <v>#REF!</v>
      </c>
      <c r="D3" s="148" t="e" cm="1">
        <f t="array" ref="D3">SUMPRODUCT(TRANSPOSE(#REF!),Perf!$AM3:$BN3)/100</f>
        <v>#REF!</v>
      </c>
      <c r="E3" s="148" t="e" cm="1">
        <f t="array" ref="E3">SUMPRODUCT(TRANSPOSE(#REF!),Perf!$AM3:$BN3)/100</f>
        <v>#REF!</v>
      </c>
      <c r="F3" s="148" t="e" cm="1">
        <f t="array" ref="F3">SUMPRODUCT(TRANSPOSE(#REF!),Perf!$AM3:$BN3)/100</f>
        <v>#REF!</v>
      </c>
      <c r="G3" s="148" t="e">
        <f t="shared" ref="G3:G62" si="9">BM3/100</f>
        <v>#REF!</v>
      </c>
      <c r="H3" s="148"/>
      <c r="I3" s="160">
        <f t="shared" ref="I3:I34" si="10">A2</f>
        <v>44104</v>
      </c>
      <c r="J3" s="148" t="e">
        <f>J2*(1+B2)</f>
        <v>#REF!</v>
      </c>
      <c r="K3" s="148" t="e">
        <f t="shared" ref="K3:O3" si="11">K2*(1+C2)</f>
        <v>#REF!</v>
      </c>
      <c r="L3" s="148" t="e">
        <f t="shared" si="11"/>
        <v>#REF!</v>
      </c>
      <c r="M3" s="148" t="e">
        <f t="shared" si="11"/>
        <v>#REF!</v>
      </c>
      <c r="N3" s="148" t="e">
        <f t="shared" si="11"/>
        <v>#REF!</v>
      </c>
      <c r="O3" s="148" t="e">
        <f t="shared" si="11"/>
        <v>#REF!</v>
      </c>
      <c r="P3" s="148"/>
      <c r="Q3" s="160">
        <f t="shared" ref="Q3:Q62" si="12">A3</f>
        <v>44135</v>
      </c>
      <c r="R3" s="148" t="e">
        <f t="shared" ref="R3:R62" si="13">B3-$G3</f>
        <v>#REF!</v>
      </c>
      <c r="S3" s="148" t="e">
        <f t="shared" ref="S3:S62" si="14">C3-$G3</f>
        <v>#REF!</v>
      </c>
      <c r="T3" s="148" t="e">
        <f t="shared" ref="T3:T62" si="15">D3-$G3</f>
        <v>#REF!</v>
      </c>
      <c r="U3" s="148" t="e">
        <f t="shared" ref="U3:U62" si="16">E3-$G3</f>
        <v>#REF!</v>
      </c>
      <c r="V3" s="148" t="e">
        <f t="shared" ref="V3:V62" si="17">F3-$G3</f>
        <v>#REF!</v>
      </c>
      <c r="W3" s="148"/>
      <c r="X3" s="148"/>
      <c r="Y3" s="148"/>
      <c r="Z3" s="148"/>
      <c r="AA3" s="148"/>
      <c r="AB3" s="148"/>
      <c r="AC3" s="148"/>
      <c r="AD3" s="148"/>
      <c r="AE3" s="160"/>
      <c r="AF3" s="148"/>
      <c r="AG3" s="148"/>
      <c r="AH3" s="148"/>
      <c r="AI3" s="148"/>
      <c r="AJ3" s="148"/>
      <c r="AL3" s="151">
        <f>DB!A3</f>
        <v>44135</v>
      </c>
      <c r="AM3" s="149" t="e">
        <f>INDEX(DB!$B$2:$AB$62,MATCH(Perf!$AL3,DB!$A$2:$A$62,0),MATCH(Perf!AM$1,DB!$B$1:$AB$1,0))</f>
        <v>#REF!</v>
      </c>
      <c r="AN3" s="149" t="e">
        <f>INDEX(DB!$B$2:$AB$62,MATCH(Perf!$AL3,DB!$A$2:$A$62,0),MATCH(Perf!AN$1,DB!$B$1:$AB$1,0))</f>
        <v>#REF!</v>
      </c>
      <c r="AO3" s="149" t="e">
        <f>INDEX(DB!$B$2:$AB$62,MATCH(Perf!$AL3,DB!$A$2:$A$62,0),MATCH(Perf!AO$1,DB!$B$1:$AB$1,0))</f>
        <v>#REF!</v>
      </c>
      <c r="AP3" s="149" t="e">
        <f>INDEX(DB!$B$2:$AB$62,MATCH(Perf!$AL3,DB!$A$2:$A$62,0),MATCH(Perf!AP$1,DB!$B$1:$AB$1,0))</f>
        <v>#REF!</v>
      </c>
      <c r="AQ3" s="149" t="e">
        <f>INDEX(DB!$B$2:$AB$62,MATCH(Perf!$AL3,DB!$A$2:$A$62,0),MATCH(Perf!AQ$1,DB!$B$1:$AB$1,0))</f>
        <v>#REF!</v>
      </c>
      <c r="AR3" s="149" t="e">
        <f>INDEX(DB!$B$2:$AB$62,MATCH(Perf!$AL3,DB!$A$2:$A$62,0),MATCH(Perf!AR$1,DB!$B$1:$AB$1,0))</f>
        <v>#REF!</v>
      </c>
      <c r="AS3" s="149" t="e">
        <f>INDEX(DB!$B$2:$AB$62,MATCH(Perf!$AL3,DB!$A$2:$A$62,0),MATCH(Perf!AS$1,DB!$B$1:$AB$1,0))</f>
        <v>#REF!</v>
      </c>
      <c r="AT3" s="149" t="e">
        <f>INDEX(DB!$B$2:$AB$62,MATCH(Perf!$AL3,DB!$A$2:$A$62,0),MATCH(Perf!AT$1,DB!$B$1:$AB$1,0))</f>
        <v>#REF!</v>
      </c>
      <c r="AU3" s="150" t="e">
        <f t="shared" si="3"/>
        <v>#REF!</v>
      </c>
      <c r="AV3" s="150" t="e">
        <f t="shared" si="4"/>
        <v>#REF!</v>
      </c>
      <c r="AW3" s="154" t="e">
        <f t="shared" si="4"/>
        <v>#REF!</v>
      </c>
      <c r="AX3" s="149" t="e">
        <f>INDEX(DB!$B$2:$AB$62,MATCH(Perf!$AL3,DB!$A$2:$A$62,0),MATCH(Perf!AX$1,DB!$B$1:$AB$1,0))</f>
        <v>#REF!</v>
      </c>
      <c r="AY3" s="150" t="e">
        <f t="shared" si="5"/>
        <v>#REF!</v>
      </c>
      <c r="AZ3" s="149" t="e">
        <f>INDEX(DB!$B$2:$AB$62,MATCH(Perf!$AL3,DB!$A$2:$A$62,0),MATCH(Perf!AZ$1,DB!$B$1:$AB$1,0))</f>
        <v>#REF!</v>
      </c>
      <c r="BA3" s="149" t="e">
        <f>INDEX(DB!$B$2:$AB$62,MATCH(Perf!$AL3,DB!$A$2:$A$62,0),MATCH(Perf!BA$1,DB!$B$1:$AB$1,0))</f>
        <v>#REF!</v>
      </c>
      <c r="BB3" s="150" t="e">
        <f t="shared" si="6"/>
        <v>#REF!</v>
      </c>
      <c r="BC3" s="149" t="e">
        <f>INDEX(DB!$B$2:$AB$62,MATCH(Perf!$AL3,DB!$A$2:$A$62,0),MATCH(Perf!BC$1,DB!$B$1:$AB$1,0))</f>
        <v>#REF!</v>
      </c>
      <c r="BD3" s="149" t="e">
        <f>INDEX(DB!$B$2:$AB$62,MATCH(Perf!$AL3,DB!$A$2:$A$62,0),MATCH(Perf!BD$1,DB!$B$1:$AB$1,0))</f>
        <v>#REF!</v>
      </c>
      <c r="BE3" s="149" t="e">
        <f>INDEX(DB!$B$2:$AB$62,MATCH(Perf!$AL3,DB!$A$2:$A$62,0),MATCH(Perf!BE$1,DB!$B$1:$AB$1,0))</f>
        <v>#REF!</v>
      </c>
      <c r="BF3" s="149" t="e">
        <f>INDEX(DB!$B$2:$AB$62,MATCH(Perf!$AL3,DB!$A$2:$A$62,0),MATCH(Perf!BF$1,DB!$B$1:$AB$1,0))</f>
        <v>#REF!</v>
      </c>
      <c r="BG3" s="149" t="e">
        <f>INDEX(DB!$B$2:$AB$62,MATCH(Perf!$AL3,DB!$A$2:$A$62,0),MATCH(Perf!BG$1,DB!$B$1:$AB$1,0))</f>
        <v>#REF!</v>
      </c>
      <c r="BH3" s="149" t="e">
        <f>INDEX(DB!$B$2:$AB$62,MATCH(Perf!$AL3,DB!$A$2:$A$62,0),MATCH(Perf!BH$1,DB!$B$1:$AB$1,0))</f>
        <v>#REF!</v>
      </c>
      <c r="BI3" s="149" t="e">
        <f>INDEX(DB!$B$2:$AB$62,MATCH(Perf!$AL3,DB!$A$2:$A$62,0),MATCH(Perf!BI$1,DB!$B$1:$AB$1,0))</f>
        <v>#REF!</v>
      </c>
      <c r="BJ3" s="149" t="e">
        <f t="shared" ref="BJ3:BJ54" si="18">0.5*BI3+0.5*AT3</f>
        <v>#REF!</v>
      </c>
      <c r="BK3" s="149" t="e">
        <f>INDEX(DB!$B$2:$AB$62,MATCH(Perf!$AL3,DB!$A$2:$A$62,0),MATCH(Perf!BK$1,DB!$B$1:$AB$1,0))</f>
        <v>#REF!</v>
      </c>
      <c r="BL3" s="150" t="e">
        <f t="shared" si="7"/>
        <v>#REF!</v>
      </c>
      <c r="BM3" s="149" t="e">
        <f>INDEX(DB!$B$2:$AB$62,MATCH(Perf!$AL3,DB!$A$2:$A$62,0),MATCH(Perf!BM$1,DB!$B$1:$AB$1,0))</f>
        <v>#REF!</v>
      </c>
    </row>
    <row r="4" spans="1:74" x14ac:dyDescent="0.15">
      <c r="A4" s="151">
        <f t="shared" si="8"/>
        <v>44165</v>
      </c>
      <c r="B4" s="148" t="e" cm="1">
        <f t="array" ref="B4">SUMPRODUCT(TRANSPOSE(#REF!),Perf!$AM4:$BN4)/100</f>
        <v>#REF!</v>
      </c>
      <c r="C4" s="148" t="e" cm="1">
        <f t="array" ref="C4">SUMPRODUCT(TRANSPOSE(#REF!),Perf!$AM4:$BN4)/100</f>
        <v>#REF!</v>
      </c>
      <c r="D4" s="148" t="e" cm="1">
        <f t="array" ref="D4">SUMPRODUCT(TRANSPOSE(#REF!),Perf!$AM4:$BN4)/100</f>
        <v>#REF!</v>
      </c>
      <c r="E4" s="148" t="e" cm="1">
        <f t="array" ref="E4">SUMPRODUCT(TRANSPOSE(#REF!),Perf!$AM4:$BN4)/100</f>
        <v>#REF!</v>
      </c>
      <c r="F4" s="148" t="e" cm="1">
        <f t="array" ref="F4">SUMPRODUCT(TRANSPOSE(#REF!),Perf!$AM4:$BN4)/100</f>
        <v>#REF!</v>
      </c>
      <c r="G4" s="148" t="e">
        <f t="shared" si="9"/>
        <v>#REF!</v>
      </c>
      <c r="H4" s="148"/>
      <c r="I4" s="160">
        <f t="shared" si="10"/>
        <v>44135</v>
      </c>
      <c r="J4" s="148" t="e">
        <f t="shared" ref="J4:J63" si="19">J3*(1+B3)</f>
        <v>#REF!</v>
      </c>
      <c r="K4" s="148" t="e">
        <f t="shared" ref="K4:K63" si="20">K3*(1+C3)</f>
        <v>#REF!</v>
      </c>
      <c r="L4" s="148" t="e">
        <f t="shared" ref="L4:L63" si="21">L3*(1+D3)</f>
        <v>#REF!</v>
      </c>
      <c r="M4" s="148" t="e">
        <f t="shared" ref="M4:M63" si="22">M3*(1+E3)</f>
        <v>#REF!</v>
      </c>
      <c r="N4" s="148" t="e">
        <f t="shared" ref="N4:N63" si="23">N3*(1+F3)</f>
        <v>#REF!</v>
      </c>
      <c r="O4" s="148" t="e">
        <f t="shared" ref="O4:O63" si="24">O3*(1+G3)</f>
        <v>#REF!</v>
      </c>
      <c r="P4" s="148"/>
      <c r="Q4" s="160">
        <f t="shared" si="12"/>
        <v>44165</v>
      </c>
      <c r="R4" s="148" t="e">
        <f t="shared" si="13"/>
        <v>#REF!</v>
      </c>
      <c r="S4" s="148" t="e">
        <f t="shared" si="14"/>
        <v>#REF!</v>
      </c>
      <c r="T4" s="148" t="e">
        <f t="shared" si="15"/>
        <v>#REF!</v>
      </c>
      <c r="U4" s="148" t="e">
        <f t="shared" si="16"/>
        <v>#REF!</v>
      </c>
      <c r="V4" s="148" t="e">
        <f t="shared" si="17"/>
        <v>#REF!</v>
      </c>
      <c r="W4" s="148"/>
      <c r="X4" s="148"/>
      <c r="Y4" s="148"/>
      <c r="Z4" s="148"/>
      <c r="AA4" s="148"/>
      <c r="AB4" s="148"/>
      <c r="AC4" s="148"/>
      <c r="AD4" s="148"/>
      <c r="AE4" s="160"/>
      <c r="AF4" s="148"/>
      <c r="AG4" s="148"/>
      <c r="AH4" s="148"/>
      <c r="AI4" s="148"/>
      <c r="AJ4" s="148"/>
      <c r="AL4" s="151">
        <f>DB!A4</f>
        <v>44165</v>
      </c>
      <c r="AM4" s="149" t="e">
        <f>INDEX(DB!$B$2:$AB$62,MATCH(Perf!$AL4,DB!$A$2:$A$62,0),MATCH(Perf!AM$1,DB!$B$1:$AB$1,0))</f>
        <v>#REF!</v>
      </c>
      <c r="AN4" s="149" t="e">
        <f>INDEX(DB!$B$2:$AB$62,MATCH(Perf!$AL4,DB!$A$2:$A$62,0),MATCH(Perf!AN$1,DB!$B$1:$AB$1,0))</f>
        <v>#REF!</v>
      </c>
      <c r="AO4" s="149" t="e">
        <f>INDEX(DB!$B$2:$AB$62,MATCH(Perf!$AL4,DB!$A$2:$A$62,0),MATCH(Perf!AO$1,DB!$B$1:$AB$1,0))</f>
        <v>#REF!</v>
      </c>
      <c r="AP4" s="149" t="e">
        <f>INDEX(DB!$B$2:$AB$62,MATCH(Perf!$AL4,DB!$A$2:$A$62,0),MATCH(Perf!AP$1,DB!$B$1:$AB$1,0))</f>
        <v>#REF!</v>
      </c>
      <c r="AQ4" s="149" t="e">
        <f>INDEX(DB!$B$2:$AB$62,MATCH(Perf!$AL4,DB!$A$2:$A$62,0),MATCH(Perf!AQ$1,DB!$B$1:$AB$1,0))</f>
        <v>#REF!</v>
      </c>
      <c r="AR4" s="149" t="e">
        <f>INDEX(DB!$B$2:$AB$62,MATCH(Perf!$AL4,DB!$A$2:$A$62,0),MATCH(Perf!AR$1,DB!$B$1:$AB$1,0))</f>
        <v>#REF!</v>
      </c>
      <c r="AS4" s="149" t="e">
        <f>INDEX(DB!$B$2:$AB$62,MATCH(Perf!$AL4,DB!$A$2:$A$62,0),MATCH(Perf!AS$1,DB!$B$1:$AB$1,0))</f>
        <v>#REF!</v>
      </c>
      <c r="AT4" s="149" t="e">
        <f>INDEX(DB!$B$2:$AB$62,MATCH(Perf!$AL4,DB!$A$2:$A$62,0),MATCH(Perf!AT$1,DB!$B$1:$AB$1,0))</f>
        <v>#REF!</v>
      </c>
      <c r="AU4" s="150" t="e">
        <f t="shared" si="3"/>
        <v>#REF!</v>
      </c>
      <c r="AV4" s="150" t="e">
        <f t="shared" si="4"/>
        <v>#REF!</v>
      </c>
      <c r="AW4" s="154" t="e">
        <f t="shared" si="4"/>
        <v>#REF!</v>
      </c>
      <c r="AX4" s="149" t="e">
        <f>INDEX(DB!$B$2:$AB$62,MATCH(Perf!$AL4,DB!$A$2:$A$62,0),MATCH(Perf!AX$1,DB!$B$1:$AB$1,0))</f>
        <v>#REF!</v>
      </c>
      <c r="AY4" s="150" t="e">
        <f t="shared" si="5"/>
        <v>#REF!</v>
      </c>
      <c r="AZ4" s="149" t="e">
        <f>INDEX(DB!$B$2:$AB$62,MATCH(Perf!$AL4,DB!$A$2:$A$62,0),MATCH(Perf!AZ$1,DB!$B$1:$AB$1,0))</f>
        <v>#REF!</v>
      </c>
      <c r="BA4" s="149" t="e">
        <f>INDEX(DB!$B$2:$AB$62,MATCH(Perf!$AL4,DB!$A$2:$A$62,0),MATCH(Perf!BA$1,DB!$B$1:$AB$1,0))</f>
        <v>#REF!</v>
      </c>
      <c r="BB4" s="150" t="e">
        <f t="shared" si="6"/>
        <v>#REF!</v>
      </c>
      <c r="BC4" s="149" t="e">
        <f>INDEX(DB!$B$2:$AB$62,MATCH(Perf!$AL4,DB!$A$2:$A$62,0),MATCH(Perf!BC$1,DB!$B$1:$AB$1,0))</f>
        <v>#REF!</v>
      </c>
      <c r="BD4" s="149" t="e">
        <f>INDEX(DB!$B$2:$AB$62,MATCH(Perf!$AL4,DB!$A$2:$A$62,0),MATCH(Perf!BD$1,DB!$B$1:$AB$1,0))</f>
        <v>#REF!</v>
      </c>
      <c r="BE4" s="149" t="e">
        <f>INDEX(DB!$B$2:$AB$62,MATCH(Perf!$AL4,DB!$A$2:$A$62,0),MATCH(Perf!BE$1,DB!$B$1:$AB$1,0))</f>
        <v>#REF!</v>
      </c>
      <c r="BF4" s="149" t="e">
        <f>INDEX(DB!$B$2:$AB$62,MATCH(Perf!$AL4,DB!$A$2:$A$62,0),MATCH(Perf!BF$1,DB!$B$1:$AB$1,0))</f>
        <v>#REF!</v>
      </c>
      <c r="BG4" s="149" t="e">
        <f>INDEX(DB!$B$2:$AB$62,MATCH(Perf!$AL4,DB!$A$2:$A$62,0),MATCH(Perf!BG$1,DB!$B$1:$AB$1,0))</f>
        <v>#REF!</v>
      </c>
      <c r="BH4" s="149" t="e">
        <f>INDEX(DB!$B$2:$AB$62,MATCH(Perf!$AL4,DB!$A$2:$A$62,0),MATCH(Perf!BH$1,DB!$B$1:$AB$1,0))</f>
        <v>#REF!</v>
      </c>
      <c r="BI4" s="149" t="e">
        <f>INDEX(DB!$B$2:$AB$62,MATCH(Perf!$AL4,DB!$A$2:$A$62,0),MATCH(Perf!BI$1,DB!$B$1:$AB$1,0))</f>
        <v>#REF!</v>
      </c>
      <c r="BJ4" s="149" t="e">
        <f t="shared" si="18"/>
        <v>#REF!</v>
      </c>
      <c r="BK4" s="149" t="e">
        <f>INDEX(DB!$B$2:$AB$62,MATCH(Perf!$AL4,DB!$A$2:$A$62,0),MATCH(Perf!BK$1,DB!$B$1:$AB$1,0))</f>
        <v>#REF!</v>
      </c>
      <c r="BL4" s="150" t="e">
        <f t="shared" si="7"/>
        <v>#REF!</v>
      </c>
      <c r="BM4" s="149" t="e">
        <f>INDEX(DB!$B$2:$AB$62,MATCH(Perf!$AL4,DB!$A$2:$A$62,0),MATCH(Perf!BM$1,DB!$B$1:$AB$1,0))</f>
        <v>#REF!</v>
      </c>
    </row>
    <row r="5" spans="1:74" x14ac:dyDescent="0.15">
      <c r="A5" s="151">
        <f t="shared" si="8"/>
        <v>44196</v>
      </c>
      <c r="B5" s="148" t="e" cm="1">
        <f t="array" ref="B5">SUMPRODUCT(TRANSPOSE(#REF!),Perf!$AM5:$BN5)/100</f>
        <v>#REF!</v>
      </c>
      <c r="C5" s="148" t="e" cm="1">
        <f t="array" ref="C5">SUMPRODUCT(TRANSPOSE(#REF!),Perf!$AM5:$BN5)/100</f>
        <v>#REF!</v>
      </c>
      <c r="D5" s="148" t="e" cm="1">
        <f t="array" ref="D5">SUMPRODUCT(TRANSPOSE(#REF!),Perf!$AM5:$BN5)/100</f>
        <v>#REF!</v>
      </c>
      <c r="E5" s="148" t="e" cm="1">
        <f t="array" ref="E5">SUMPRODUCT(TRANSPOSE(#REF!),Perf!$AM5:$BN5)/100</f>
        <v>#REF!</v>
      </c>
      <c r="F5" s="148" t="e" cm="1">
        <f t="array" ref="F5">SUMPRODUCT(TRANSPOSE(#REF!),Perf!$AM5:$BN5)/100</f>
        <v>#REF!</v>
      </c>
      <c r="G5" s="148" t="e">
        <f t="shared" si="9"/>
        <v>#REF!</v>
      </c>
      <c r="H5" s="148"/>
      <c r="I5" s="160">
        <f t="shared" si="10"/>
        <v>44165</v>
      </c>
      <c r="J5" s="148" t="e">
        <f t="shared" si="19"/>
        <v>#REF!</v>
      </c>
      <c r="K5" s="148" t="e">
        <f t="shared" si="20"/>
        <v>#REF!</v>
      </c>
      <c r="L5" s="148" t="e">
        <f t="shared" si="21"/>
        <v>#REF!</v>
      </c>
      <c r="M5" s="148" t="e">
        <f t="shared" si="22"/>
        <v>#REF!</v>
      </c>
      <c r="N5" s="148" t="e">
        <f t="shared" si="23"/>
        <v>#REF!</v>
      </c>
      <c r="O5" s="148" t="e">
        <f t="shared" si="24"/>
        <v>#REF!</v>
      </c>
      <c r="P5" s="148"/>
      <c r="Q5" s="160">
        <f t="shared" si="12"/>
        <v>44196</v>
      </c>
      <c r="R5" s="148" t="e">
        <f t="shared" si="13"/>
        <v>#REF!</v>
      </c>
      <c r="S5" s="148" t="e">
        <f t="shared" si="14"/>
        <v>#REF!</v>
      </c>
      <c r="T5" s="148" t="e">
        <f t="shared" si="15"/>
        <v>#REF!</v>
      </c>
      <c r="U5" s="148" t="e">
        <f t="shared" si="16"/>
        <v>#REF!</v>
      </c>
      <c r="V5" s="148" t="e">
        <f t="shared" si="17"/>
        <v>#REF!</v>
      </c>
      <c r="W5" s="148"/>
      <c r="X5" s="148"/>
      <c r="Y5" s="148"/>
      <c r="Z5" s="148"/>
      <c r="AA5" s="148"/>
      <c r="AB5" s="148"/>
      <c r="AC5" s="148"/>
      <c r="AD5" s="148"/>
      <c r="AE5" s="160"/>
      <c r="AF5" s="148"/>
      <c r="AG5" s="148"/>
      <c r="AH5" s="148"/>
      <c r="AI5" s="148"/>
      <c r="AJ5" s="148"/>
      <c r="AL5" s="151">
        <f>DB!A5</f>
        <v>44196</v>
      </c>
      <c r="AM5" s="149" t="e">
        <f>INDEX(DB!$B$2:$AB$62,MATCH(Perf!$AL5,DB!$A$2:$A$62,0),MATCH(Perf!AM$1,DB!$B$1:$AB$1,0))</f>
        <v>#REF!</v>
      </c>
      <c r="AN5" s="149" t="e">
        <f>INDEX(DB!$B$2:$AB$62,MATCH(Perf!$AL5,DB!$A$2:$A$62,0),MATCH(Perf!AN$1,DB!$B$1:$AB$1,0))</f>
        <v>#REF!</v>
      </c>
      <c r="AO5" s="149" t="e">
        <f>INDEX(DB!$B$2:$AB$62,MATCH(Perf!$AL5,DB!$A$2:$A$62,0),MATCH(Perf!AO$1,DB!$B$1:$AB$1,0))</f>
        <v>#REF!</v>
      </c>
      <c r="AP5" s="149" t="e">
        <f>INDEX(DB!$B$2:$AB$62,MATCH(Perf!$AL5,DB!$A$2:$A$62,0),MATCH(Perf!AP$1,DB!$B$1:$AB$1,0))</f>
        <v>#REF!</v>
      </c>
      <c r="AQ5" s="149" t="e">
        <f>INDEX(DB!$B$2:$AB$62,MATCH(Perf!$AL5,DB!$A$2:$A$62,0),MATCH(Perf!AQ$1,DB!$B$1:$AB$1,0))</f>
        <v>#REF!</v>
      </c>
      <c r="AR5" s="149" t="e">
        <f>INDEX(DB!$B$2:$AB$62,MATCH(Perf!$AL5,DB!$A$2:$A$62,0),MATCH(Perf!AR$1,DB!$B$1:$AB$1,0))</f>
        <v>#REF!</v>
      </c>
      <c r="AS5" s="149" t="e">
        <f>INDEX(DB!$B$2:$AB$62,MATCH(Perf!$AL5,DB!$A$2:$A$62,0),MATCH(Perf!AS$1,DB!$B$1:$AB$1,0))</f>
        <v>#REF!</v>
      </c>
      <c r="AT5" s="149" t="e">
        <f>INDEX(DB!$B$2:$AB$62,MATCH(Perf!$AL5,DB!$A$2:$A$62,0),MATCH(Perf!AT$1,DB!$B$1:$AB$1,0))</f>
        <v>#REF!</v>
      </c>
      <c r="AU5" s="150" t="e">
        <f t="shared" si="3"/>
        <v>#REF!</v>
      </c>
      <c r="AV5" s="150" t="e">
        <f t="shared" si="4"/>
        <v>#REF!</v>
      </c>
      <c r="AW5" s="154" t="e">
        <f t="shared" si="4"/>
        <v>#REF!</v>
      </c>
      <c r="AX5" s="149" t="e">
        <f>INDEX(DB!$B$2:$AB$62,MATCH(Perf!$AL5,DB!$A$2:$A$62,0),MATCH(Perf!AX$1,DB!$B$1:$AB$1,0))</f>
        <v>#REF!</v>
      </c>
      <c r="AY5" s="150" t="e">
        <f t="shared" si="5"/>
        <v>#REF!</v>
      </c>
      <c r="AZ5" s="149" t="e">
        <f>INDEX(DB!$B$2:$AB$62,MATCH(Perf!$AL5,DB!$A$2:$A$62,0),MATCH(Perf!AZ$1,DB!$B$1:$AB$1,0))</f>
        <v>#REF!</v>
      </c>
      <c r="BA5" s="149" t="e">
        <f>INDEX(DB!$B$2:$AB$62,MATCH(Perf!$AL5,DB!$A$2:$A$62,0),MATCH(Perf!BA$1,DB!$B$1:$AB$1,0))</f>
        <v>#REF!</v>
      </c>
      <c r="BB5" s="150" t="e">
        <f>BM5</f>
        <v>#REF!</v>
      </c>
      <c r="BC5" s="149" t="e">
        <f>INDEX(DB!$B$2:$AB$62,MATCH(Perf!$AL5,DB!$A$2:$A$62,0),MATCH(Perf!BC$1,DB!$B$1:$AB$1,0))</f>
        <v>#REF!</v>
      </c>
      <c r="BD5" s="149" t="e">
        <f>INDEX(DB!$B$2:$AB$62,MATCH(Perf!$AL5,DB!$A$2:$A$62,0),MATCH(Perf!BD$1,DB!$B$1:$AB$1,0))</f>
        <v>#REF!</v>
      </c>
      <c r="BE5" s="149" t="e">
        <f>INDEX(DB!$B$2:$AB$62,MATCH(Perf!$AL5,DB!$A$2:$A$62,0),MATCH(Perf!BE$1,DB!$B$1:$AB$1,0))</f>
        <v>#REF!</v>
      </c>
      <c r="BF5" s="149" t="e">
        <f>INDEX(DB!$B$2:$AB$62,MATCH(Perf!$AL5,DB!$A$2:$A$62,0),MATCH(Perf!BF$1,DB!$B$1:$AB$1,0))</f>
        <v>#REF!</v>
      </c>
      <c r="BG5" s="149" t="e">
        <f>INDEX(DB!$B$2:$AB$62,MATCH(Perf!$AL5,DB!$A$2:$A$62,0),MATCH(Perf!BG$1,DB!$B$1:$AB$1,0))</f>
        <v>#REF!</v>
      </c>
      <c r="BH5" s="149" t="e">
        <f>INDEX(DB!$B$2:$AB$62,MATCH(Perf!$AL5,DB!$A$2:$A$62,0),MATCH(Perf!BH$1,DB!$B$1:$AB$1,0))</f>
        <v>#REF!</v>
      </c>
      <c r="BI5" s="149" t="e">
        <f>INDEX(DB!$B$2:$AB$62,MATCH(Perf!$AL5,DB!$A$2:$A$62,0),MATCH(Perf!BI$1,DB!$B$1:$AB$1,0))</f>
        <v>#REF!</v>
      </c>
      <c r="BJ5" s="149" t="e">
        <f t="shared" si="18"/>
        <v>#REF!</v>
      </c>
      <c r="BK5" s="149" t="e">
        <f>INDEX(DB!$B$2:$AB$62,MATCH(Perf!$AL5,DB!$A$2:$A$62,0),MATCH(Perf!BK$1,DB!$B$1:$AB$1,0))</f>
        <v>#REF!</v>
      </c>
      <c r="BL5" s="150" t="e">
        <f t="shared" si="7"/>
        <v>#REF!</v>
      </c>
      <c r="BM5" s="149" t="e">
        <f>INDEX(DB!$B$2:$AB$62,MATCH(Perf!$AL5,DB!$A$2:$A$62,0),MATCH(Perf!BM$1,DB!$B$1:$AB$1,0))</f>
        <v>#REF!</v>
      </c>
    </row>
    <row r="6" spans="1:74" x14ac:dyDescent="0.15">
      <c r="A6" s="151">
        <f t="shared" si="8"/>
        <v>44227</v>
      </c>
      <c r="B6" s="148" t="e" cm="1">
        <f t="array" ref="B6">SUMPRODUCT(TRANSPOSE(#REF!),Perf!$AM6:$BN6)/100</f>
        <v>#REF!</v>
      </c>
      <c r="C6" s="148" t="e" cm="1">
        <f t="array" ref="C6">SUMPRODUCT(TRANSPOSE(#REF!),Perf!$AM6:$BN6)/100</f>
        <v>#REF!</v>
      </c>
      <c r="D6" s="148" t="e" cm="1">
        <f t="array" ref="D6">SUMPRODUCT(TRANSPOSE(#REF!),Perf!$AM6:$BN6)/100</f>
        <v>#REF!</v>
      </c>
      <c r="E6" s="148" t="e" cm="1">
        <f t="array" ref="E6">SUMPRODUCT(TRANSPOSE(#REF!),Perf!$AM6:$BN6)/100</f>
        <v>#REF!</v>
      </c>
      <c r="F6" s="148" t="e" cm="1">
        <f t="array" ref="F6">SUMPRODUCT(TRANSPOSE(#REF!),Perf!$AM6:$BN6)/100</f>
        <v>#REF!</v>
      </c>
      <c r="G6" s="148" t="e">
        <f t="shared" si="9"/>
        <v>#REF!</v>
      </c>
      <c r="H6" s="148"/>
      <c r="I6" s="160">
        <f t="shared" si="10"/>
        <v>44196</v>
      </c>
      <c r="J6" s="148" t="e">
        <f t="shared" si="19"/>
        <v>#REF!</v>
      </c>
      <c r="K6" s="148" t="e">
        <f t="shared" si="20"/>
        <v>#REF!</v>
      </c>
      <c r="L6" s="148" t="e">
        <f t="shared" si="21"/>
        <v>#REF!</v>
      </c>
      <c r="M6" s="148" t="e">
        <f t="shared" si="22"/>
        <v>#REF!</v>
      </c>
      <c r="N6" s="148" t="e">
        <f t="shared" si="23"/>
        <v>#REF!</v>
      </c>
      <c r="O6" s="148" t="e">
        <f t="shared" si="24"/>
        <v>#REF!</v>
      </c>
      <c r="P6" s="148"/>
      <c r="Q6" s="160">
        <f t="shared" si="12"/>
        <v>44227</v>
      </c>
      <c r="R6" s="148" t="e">
        <f t="shared" si="13"/>
        <v>#REF!</v>
      </c>
      <c r="S6" s="148" t="e">
        <f t="shared" si="14"/>
        <v>#REF!</v>
      </c>
      <c r="T6" s="148" t="e">
        <f t="shared" si="15"/>
        <v>#REF!</v>
      </c>
      <c r="U6" s="148" t="e">
        <f t="shared" si="16"/>
        <v>#REF!</v>
      </c>
      <c r="V6" s="148" t="e">
        <f t="shared" si="17"/>
        <v>#REF!</v>
      </c>
      <c r="W6" s="148"/>
      <c r="X6" s="148"/>
      <c r="Y6" s="148"/>
      <c r="Z6" s="148"/>
      <c r="AA6" s="148"/>
      <c r="AB6" s="148"/>
      <c r="AC6" s="148"/>
      <c r="AD6" s="148"/>
      <c r="AE6" s="160"/>
      <c r="AF6" s="148"/>
      <c r="AG6" s="148"/>
      <c r="AH6" s="148"/>
      <c r="AI6" s="148"/>
      <c r="AJ6" s="148"/>
      <c r="AL6" s="151">
        <f>DB!A6</f>
        <v>44227</v>
      </c>
      <c r="AM6" s="149" t="e">
        <f>INDEX(DB!$B$2:$AB$62,MATCH(Perf!$AL6,DB!$A$2:$A$62,0),MATCH(Perf!AM$1,DB!$B$1:$AB$1,0))</f>
        <v>#REF!</v>
      </c>
      <c r="AN6" s="149" t="e">
        <f>INDEX(DB!$B$2:$AB$62,MATCH(Perf!$AL6,DB!$A$2:$A$62,0),MATCH(Perf!AN$1,DB!$B$1:$AB$1,0))</f>
        <v>#REF!</v>
      </c>
      <c r="AO6" s="149" t="e">
        <f>INDEX(DB!$B$2:$AB$62,MATCH(Perf!$AL6,DB!$A$2:$A$62,0),MATCH(Perf!AO$1,DB!$B$1:$AB$1,0))</f>
        <v>#REF!</v>
      </c>
      <c r="AP6" s="149" t="e">
        <f>INDEX(DB!$B$2:$AB$62,MATCH(Perf!$AL6,DB!$A$2:$A$62,0),MATCH(Perf!AP$1,DB!$B$1:$AB$1,0))</f>
        <v>#REF!</v>
      </c>
      <c r="AQ6" s="149" t="e">
        <f>INDEX(DB!$B$2:$AB$62,MATCH(Perf!$AL6,DB!$A$2:$A$62,0),MATCH(Perf!AQ$1,DB!$B$1:$AB$1,0))</f>
        <v>#REF!</v>
      </c>
      <c r="AR6" s="149" t="e">
        <f>INDEX(DB!$B$2:$AB$62,MATCH(Perf!$AL6,DB!$A$2:$A$62,0),MATCH(Perf!AR$1,DB!$B$1:$AB$1,0))</f>
        <v>#REF!</v>
      </c>
      <c r="AS6" s="149" t="e">
        <f>INDEX(DB!$B$2:$AB$62,MATCH(Perf!$AL6,DB!$A$2:$A$62,0),MATCH(Perf!AS$1,DB!$B$1:$AB$1,0))</f>
        <v>#REF!</v>
      </c>
      <c r="AT6" s="149" t="e">
        <f>INDEX(DB!$B$2:$AB$62,MATCH(Perf!$AL6,DB!$A$2:$A$62,0),MATCH(Perf!AT$1,DB!$B$1:$AB$1,0))</f>
        <v>#REF!</v>
      </c>
      <c r="AU6" s="150" t="e">
        <f t="shared" si="3"/>
        <v>#REF!</v>
      </c>
      <c r="AV6" s="150" t="e">
        <f t="shared" si="4"/>
        <v>#REF!</v>
      </c>
      <c r="AW6" s="154" t="e">
        <f t="shared" si="4"/>
        <v>#REF!</v>
      </c>
      <c r="AX6" s="149" t="e">
        <f>INDEX(DB!$B$2:$AB$62,MATCH(Perf!$AL6,DB!$A$2:$A$62,0),MATCH(Perf!AX$1,DB!$B$1:$AB$1,0))</f>
        <v>#REF!</v>
      </c>
      <c r="AY6" s="150" t="e">
        <f t="shared" si="5"/>
        <v>#REF!</v>
      </c>
      <c r="AZ6" s="149" t="e">
        <f>INDEX(DB!$B$2:$AB$62,MATCH(Perf!$AL6,DB!$A$2:$A$62,0),MATCH(Perf!AZ$1,DB!$B$1:$AB$1,0))</f>
        <v>#REF!</v>
      </c>
      <c r="BA6" s="149" t="e">
        <f>INDEX(DB!$B$2:$AB$62,MATCH(Perf!$AL6,DB!$A$2:$A$62,0),MATCH(Perf!BA$1,DB!$B$1:$AB$1,0))</f>
        <v>#REF!</v>
      </c>
      <c r="BB6" s="149" t="e">
        <f>INDEX(DB!$B$2:$AB$62,MATCH(Perf!$AL6,DB!$A$2:$A$62,0),MATCH(Perf!BB$1,DB!$B$1:$AB$1,0))</f>
        <v>#REF!</v>
      </c>
      <c r="BC6" s="149" t="e">
        <f>INDEX(DB!$B$2:$AB$62,MATCH(Perf!$AL6,DB!$A$2:$A$62,0),MATCH(Perf!BC$1,DB!$B$1:$AB$1,0))</f>
        <v>#REF!</v>
      </c>
      <c r="BD6" s="149" t="e">
        <f>INDEX(DB!$B$2:$AB$62,MATCH(Perf!$AL6,DB!$A$2:$A$62,0),MATCH(Perf!BD$1,DB!$B$1:$AB$1,0))</f>
        <v>#REF!</v>
      </c>
      <c r="BE6" s="149" t="e">
        <f>INDEX(DB!$B$2:$AB$62,MATCH(Perf!$AL6,DB!$A$2:$A$62,0),MATCH(Perf!BE$1,DB!$B$1:$AB$1,0))</f>
        <v>#REF!</v>
      </c>
      <c r="BF6" s="149" t="e">
        <f>INDEX(DB!$B$2:$AB$62,MATCH(Perf!$AL6,DB!$A$2:$A$62,0),MATCH(Perf!BF$1,DB!$B$1:$AB$1,0))</f>
        <v>#REF!</v>
      </c>
      <c r="BG6" s="149" t="e">
        <f>INDEX(DB!$B$2:$AB$62,MATCH(Perf!$AL6,DB!$A$2:$A$62,0),MATCH(Perf!BG$1,DB!$B$1:$AB$1,0))</f>
        <v>#REF!</v>
      </c>
      <c r="BH6" s="149" t="e">
        <f>INDEX(DB!$B$2:$AB$62,MATCH(Perf!$AL6,DB!$A$2:$A$62,0),MATCH(Perf!BH$1,DB!$B$1:$AB$1,0))</f>
        <v>#REF!</v>
      </c>
      <c r="BI6" s="149" t="e">
        <f>INDEX(DB!$B$2:$AB$62,MATCH(Perf!$AL6,DB!$A$2:$A$62,0),MATCH(Perf!BI$1,DB!$B$1:$AB$1,0))</f>
        <v>#REF!</v>
      </c>
      <c r="BJ6" s="149" t="e">
        <f t="shared" si="18"/>
        <v>#REF!</v>
      </c>
      <c r="BK6" s="149" t="e">
        <f>INDEX(DB!$B$2:$AB$62,MATCH(Perf!$AL6,DB!$A$2:$A$62,0),MATCH(Perf!BK$1,DB!$B$1:$AB$1,0))</f>
        <v>#REF!</v>
      </c>
      <c r="BL6" s="150" t="e">
        <f t="shared" si="7"/>
        <v>#REF!</v>
      </c>
      <c r="BM6" s="149" t="e">
        <f>INDEX(DB!$B$2:$AB$62,MATCH(Perf!$AL6,DB!$A$2:$A$62,0),MATCH(Perf!BM$1,DB!$B$1:$AB$1,0))</f>
        <v>#REF!</v>
      </c>
    </row>
    <row r="7" spans="1:74" x14ac:dyDescent="0.15">
      <c r="A7" s="151">
        <f t="shared" si="8"/>
        <v>44255</v>
      </c>
      <c r="B7" s="148" t="e" cm="1">
        <f t="array" ref="B7">SUMPRODUCT(TRANSPOSE(#REF!),Perf!$AM7:$BN7)/100</f>
        <v>#REF!</v>
      </c>
      <c r="C7" s="148" t="e" cm="1">
        <f t="array" ref="C7">SUMPRODUCT(TRANSPOSE(#REF!),Perf!$AM7:$BN7)/100</f>
        <v>#REF!</v>
      </c>
      <c r="D7" s="148" t="e" cm="1">
        <f t="array" ref="D7">SUMPRODUCT(TRANSPOSE(#REF!),Perf!$AM7:$BN7)/100</f>
        <v>#REF!</v>
      </c>
      <c r="E7" s="148" t="e" cm="1">
        <f t="array" ref="E7">SUMPRODUCT(TRANSPOSE(#REF!),Perf!$AM7:$BN7)/100</f>
        <v>#REF!</v>
      </c>
      <c r="F7" s="148" t="e" cm="1">
        <f t="array" ref="F7">SUMPRODUCT(TRANSPOSE(#REF!),Perf!$AM7:$BN7)/100</f>
        <v>#REF!</v>
      </c>
      <c r="G7" s="148" t="e">
        <f t="shared" si="9"/>
        <v>#REF!</v>
      </c>
      <c r="H7" s="148"/>
      <c r="I7" s="160">
        <f t="shared" si="10"/>
        <v>44227</v>
      </c>
      <c r="J7" s="148" t="e">
        <f t="shared" si="19"/>
        <v>#REF!</v>
      </c>
      <c r="K7" s="148" t="e">
        <f t="shared" si="20"/>
        <v>#REF!</v>
      </c>
      <c r="L7" s="148" t="e">
        <f t="shared" si="21"/>
        <v>#REF!</v>
      </c>
      <c r="M7" s="148" t="e">
        <f t="shared" si="22"/>
        <v>#REF!</v>
      </c>
      <c r="N7" s="148" t="e">
        <f t="shared" si="23"/>
        <v>#REF!</v>
      </c>
      <c r="O7" s="148" t="e">
        <f t="shared" si="24"/>
        <v>#REF!</v>
      </c>
      <c r="P7" s="148"/>
      <c r="Q7" s="160">
        <f t="shared" si="12"/>
        <v>44255</v>
      </c>
      <c r="R7" s="148" t="e">
        <f t="shared" si="13"/>
        <v>#REF!</v>
      </c>
      <c r="S7" s="148" t="e">
        <f t="shared" si="14"/>
        <v>#REF!</v>
      </c>
      <c r="T7" s="148" t="e">
        <f t="shared" si="15"/>
        <v>#REF!</v>
      </c>
      <c r="U7" s="148" t="e">
        <f t="shared" si="16"/>
        <v>#REF!</v>
      </c>
      <c r="V7" s="148" t="e">
        <f t="shared" si="17"/>
        <v>#REF!</v>
      </c>
      <c r="W7" s="148"/>
      <c r="X7" s="148"/>
      <c r="Y7" s="148"/>
      <c r="Z7" s="148"/>
      <c r="AA7" s="148"/>
      <c r="AB7" s="148"/>
      <c r="AC7" s="148"/>
      <c r="AD7" s="148"/>
      <c r="AE7" s="160"/>
      <c r="AF7" s="148"/>
      <c r="AG7" s="148"/>
      <c r="AH7" s="148"/>
      <c r="AI7" s="148"/>
      <c r="AJ7" s="148"/>
      <c r="AL7" s="151">
        <f>DB!A7</f>
        <v>44255</v>
      </c>
      <c r="AM7" s="149" t="e">
        <f>INDEX(DB!$B$2:$AB$62,MATCH(Perf!$AL7,DB!$A$2:$A$62,0),MATCH(Perf!AM$1,DB!$B$1:$AB$1,0))</f>
        <v>#REF!</v>
      </c>
      <c r="AN7" s="149" t="e">
        <f>INDEX(DB!$B$2:$AB$62,MATCH(Perf!$AL7,DB!$A$2:$A$62,0),MATCH(Perf!AN$1,DB!$B$1:$AB$1,0))</f>
        <v>#REF!</v>
      </c>
      <c r="AO7" s="149" t="e">
        <f>INDEX(DB!$B$2:$AB$62,MATCH(Perf!$AL7,DB!$A$2:$A$62,0),MATCH(Perf!AO$1,DB!$B$1:$AB$1,0))</f>
        <v>#REF!</v>
      </c>
      <c r="AP7" s="149" t="e">
        <f>INDEX(DB!$B$2:$AB$62,MATCH(Perf!$AL7,DB!$A$2:$A$62,0),MATCH(Perf!AP$1,DB!$B$1:$AB$1,0))</f>
        <v>#REF!</v>
      </c>
      <c r="AQ7" s="149" t="e">
        <f>INDEX(DB!$B$2:$AB$62,MATCH(Perf!$AL7,DB!$A$2:$A$62,0),MATCH(Perf!AQ$1,DB!$B$1:$AB$1,0))</f>
        <v>#REF!</v>
      </c>
      <c r="AR7" s="149" t="e">
        <f>INDEX(DB!$B$2:$AB$62,MATCH(Perf!$AL7,DB!$A$2:$A$62,0),MATCH(Perf!AR$1,DB!$B$1:$AB$1,0))</f>
        <v>#REF!</v>
      </c>
      <c r="AS7" s="149" t="e">
        <f>INDEX(DB!$B$2:$AB$62,MATCH(Perf!$AL7,DB!$A$2:$A$62,0),MATCH(Perf!AS$1,DB!$B$1:$AB$1,0))</f>
        <v>#REF!</v>
      </c>
      <c r="AT7" s="149" t="e">
        <f>INDEX(DB!$B$2:$AB$62,MATCH(Perf!$AL7,DB!$A$2:$A$62,0),MATCH(Perf!AT$1,DB!$B$1:$AB$1,0))</f>
        <v>#REF!</v>
      </c>
      <c r="AU7" s="150" t="e">
        <f t="shared" si="3"/>
        <v>#REF!</v>
      </c>
      <c r="AV7" s="150" t="e">
        <f t="shared" si="4"/>
        <v>#REF!</v>
      </c>
      <c r="AW7" s="154" t="e">
        <f t="shared" si="4"/>
        <v>#REF!</v>
      </c>
      <c r="AX7" s="149" t="e">
        <f>INDEX(DB!$B$2:$AB$62,MATCH(Perf!$AL7,DB!$A$2:$A$62,0),MATCH(Perf!AX$1,DB!$B$1:$AB$1,0))</f>
        <v>#REF!</v>
      </c>
      <c r="AY7" s="150" t="e">
        <f t="shared" si="5"/>
        <v>#REF!</v>
      </c>
      <c r="AZ7" s="149" t="e">
        <f>INDEX(DB!$B$2:$AB$62,MATCH(Perf!$AL7,DB!$A$2:$A$62,0),MATCH(Perf!AZ$1,DB!$B$1:$AB$1,0))</f>
        <v>#REF!</v>
      </c>
      <c r="BA7" s="149" t="e">
        <f>INDEX(DB!$B$2:$AB$62,MATCH(Perf!$AL7,DB!$A$2:$A$62,0),MATCH(Perf!BA$1,DB!$B$1:$AB$1,0))</f>
        <v>#REF!</v>
      </c>
      <c r="BB7" s="149" t="e">
        <f>INDEX(DB!$B$2:$AB$62,MATCH(Perf!$AL7,DB!$A$2:$A$62,0),MATCH(Perf!BB$1,DB!$B$1:$AB$1,0))</f>
        <v>#REF!</v>
      </c>
      <c r="BC7" s="149" t="e">
        <f>INDEX(DB!$B$2:$AB$62,MATCH(Perf!$AL7,DB!$A$2:$A$62,0),MATCH(Perf!BC$1,DB!$B$1:$AB$1,0))</f>
        <v>#REF!</v>
      </c>
      <c r="BD7" s="149" t="e">
        <f>INDEX(DB!$B$2:$AB$62,MATCH(Perf!$AL7,DB!$A$2:$A$62,0),MATCH(Perf!BD$1,DB!$B$1:$AB$1,0))</f>
        <v>#REF!</v>
      </c>
      <c r="BE7" s="149" t="e">
        <f>INDEX(DB!$B$2:$AB$62,MATCH(Perf!$AL7,DB!$A$2:$A$62,0),MATCH(Perf!BE$1,DB!$B$1:$AB$1,0))</f>
        <v>#REF!</v>
      </c>
      <c r="BF7" s="149" t="e">
        <f>INDEX(DB!$B$2:$AB$62,MATCH(Perf!$AL7,DB!$A$2:$A$62,0),MATCH(Perf!BF$1,DB!$B$1:$AB$1,0))</f>
        <v>#REF!</v>
      </c>
      <c r="BG7" s="149" t="e">
        <f>INDEX(DB!$B$2:$AB$62,MATCH(Perf!$AL7,DB!$A$2:$A$62,0),MATCH(Perf!BG$1,DB!$B$1:$AB$1,0))</f>
        <v>#REF!</v>
      </c>
      <c r="BH7" s="149" t="e">
        <f>INDEX(DB!$B$2:$AB$62,MATCH(Perf!$AL7,DB!$A$2:$A$62,0),MATCH(Perf!BH$1,DB!$B$1:$AB$1,0))</f>
        <v>#REF!</v>
      </c>
      <c r="BI7" s="149" t="e">
        <f>INDEX(DB!$B$2:$AB$62,MATCH(Perf!$AL7,DB!$A$2:$A$62,0),MATCH(Perf!BI$1,DB!$B$1:$AB$1,0))</f>
        <v>#REF!</v>
      </c>
      <c r="BJ7" s="149" t="e">
        <f t="shared" si="18"/>
        <v>#REF!</v>
      </c>
      <c r="BK7" s="149" t="e">
        <f>INDEX(DB!$B$2:$AB$62,MATCH(Perf!$AL7,DB!$A$2:$A$62,0),MATCH(Perf!BK$1,DB!$B$1:$AB$1,0))</f>
        <v>#REF!</v>
      </c>
      <c r="BL7" s="150" t="e">
        <f t="shared" si="7"/>
        <v>#REF!</v>
      </c>
      <c r="BM7" s="149" t="e">
        <f>INDEX(DB!$B$2:$AB$62,MATCH(Perf!$AL7,DB!$A$2:$A$62,0),MATCH(Perf!BM$1,DB!$B$1:$AB$1,0))</f>
        <v>#REF!</v>
      </c>
    </row>
    <row r="8" spans="1:74" x14ac:dyDescent="0.15">
      <c r="A8" s="151">
        <f t="shared" si="8"/>
        <v>44286</v>
      </c>
      <c r="B8" s="148" t="e" cm="1">
        <f t="array" ref="B8">SUMPRODUCT(TRANSPOSE(#REF!),Perf!$AM8:$BN8)/100</f>
        <v>#REF!</v>
      </c>
      <c r="C8" s="148" t="e" cm="1">
        <f t="array" ref="C8">SUMPRODUCT(TRANSPOSE(#REF!),Perf!$AM8:$BN8)/100</f>
        <v>#REF!</v>
      </c>
      <c r="D8" s="148" t="e" cm="1">
        <f t="array" ref="D8">SUMPRODUCT(TRANSPOSE(#REF!),Perf!$AM8:$BN8)/100</f>
        <v>#REF!</v>
      </c>
      <c r="E8" s="148" t="e" cm="1">
        <f t="array" ref="E8">SUMPRODUCT(TRANSPOSE(#REF!),Perf!$AM8:$BN8)/100</f>
        <v>#REF!</v>
      </c>
      <c r="F8" s="148" t="e" cm="1">
        <f t="array" ref="F8">SUMPRODUCT(TRANSPOSE(#REF!),Perf!$AM8:$BN8)/100</f>
        <v>#REF!</v>
      </c>
      <c r="G8" s="148" t="e">
        <f t="shared" si="9"/>
        <v>#REF!</v>
      </c>
      <c r="H8" s="148"/>
      <c r="I8" s="160">
        <f t="shared" si="10"/>
        <v>44255</v>
      </c>
      <c r="J8" s="148" t="e">
        <f t="shared" si="19"/>
        <v>#REF!</v>
      </c>
      <c r="K8" s="148" t="e">
        <f t="shared" si="20"/>
        <v>#REF!</v>
      </c>
      <c r="L8" s="148" t="e">
        <f t="shared" si="21"/>
        <v>#REF!</v>
      </c>
      <c r="M8" s="148" t="e">
        <f t="shared" si="22"/>
        <v>#REF!</v>
      </c>
      <c r="N8" s="148" t="e">
        <f t="shared" si="23"/>
        <v>#REF!</v>
      </c>
      <c r="O8" s="148" t="e">
        <f t="shared" si="24"/>
        <v>#REF!</v>
      </c>
      <c r="P8" s="148"/>
      <c r="Q8" s="160">
        <f t="shared" si="12"/>
        <v>44286</v>
      </c>
      <c r="R8" s="148" t="e">
        <f t="shared" si="13"/>
        <v>#REF!</v>
      </c>
      <c r="S8" s="148" t="e">
        <f t="shared" si="14"/>
        <v>#REF!</v>
      </c>
      <c r="T8" s="148" t="e">
        <f t="shared" si="15"/>
        <v>#REF!</v>
      </c>
      <c r="U8" s="148" t="e">
        <f t="shared" si="16"/>
        <v>#REF!</v>
      </c>
      <c r="V8" s="148" t="e">
        <f t="shared" si="17"/>
        <v>#REF!</v>
      </c>
      <c r="W8" s="148"/>
      <c r="X8" s="148"/>
      <c r="Y8" s="148"/>
      <c r="Z8" s="148"/>
      <c r="AA8" s="148"/>
      <c r="AB8" s="148"/>
      <c r="AC8" s="148"/>
      <c r="AD8" s="148"/>
      <c r="AE8" s="160"/>
      <c r="AF8" s="148"/>
      <c r="AG8" s="148"/>
      <c r="AH8" s="148"/>
      <c r="AI8" s="148"/>
      <c r="AJ8" s="148"/>
      <c r="AL8" s="151">
        <f>DB!A8</f>
        <v>44286</v>
      </c>
      <c r="AM8" s="149" t="e">
        <f>INDEX(DB!$B$2:$AB$62,MATCH(Perf!$AL8,DB!$A$2:$A$62,0),MATCH(Perf!AM$1,DB!$B$1:$AB$1,0))</f>
        <v>#REF!</v>
      </c>
      <c r="AN8" s="149" t="e">
        <f>INDEX(DB!$B$2:$AB$62,MATCH(Perf!$AL8,DB!$A$2:$A$62,0),MATCH(Perf!AN$1,DB!$B$1:$AB$1,0))</f>
        <v>#REF!</v>
      </c>
      <c r="AO8" s="149" t="e">
        <f>INDEX(DB!$B$2:$AB$62,MATCH(Perf!$AL8,DB!$A$2:$A$62,0),MATCH(Perf!AO$1,DB!$B$1:$AB$1,0))</f>
        <v>#REF!</v>
      </c>
      <c r="AP8" s="149" t="e">
        <f>INDEX(DB!$B$2:$AB$62,MATCH(Perf!$AL8,DB!$A$2:$A$62,0),MATCH(Perf!AP$1,DB!$B$1:$AB$1,0))</f>
        <v>#REF!</v>
      </c>
      <c r="AQ8" s="149" t="e">
        <f>INDEX(DB!$B$2:$AB$62,MATCH(Perf!$AL8,DB!$A$2:$A$62,0),MATCH(Perf!AQ$1,DB!$B$1:$AB$1,0))</f>
        <v>#REF!</v>
      </c>
      <c r="AR8" s="149" t="e">
        <f>INDEX(DB!$B$2:$AB$62,MATCH(Perf!$AL8,DB!$A$2:$A$62,0),MATCH(Perf!AR$1,DB!$B$1:$AB$1,0))</f>
        <v>#REF!</v>
      </c>
      <c r="AS8" s="149" t="e">
        <f>INDEX(DB!$B$2:$AB$62,MATCH(Perf!$AL8,DB!$A$2:$A$62,0),MATCH(Perf!AS$1,DB!$B$1:$AB$1,0))</f>
        <v>#REF!</v>
      </c>
      <c r="AT8" s="149" t="e">
        <f>INDEX(DB!$B$2:$AB$62,MATCH(Perf!$AL8,DB!$A$2:$A$62,0),MATCH(Perf!AT$1,DB!$B$1:$AB$1,0))</f>
        <v>#REF!</v>
      </c>
      <c r="AU8" s="150" t="e">
        <f t="shared" si="3"/>
        <v>#REF!</v>
      </c>
      <c r="AV8" s="150" t="e">
        <f t="shared" si="4"/>
        <v>#REF!</v>
      </c>
      <c r="AW8" s="154" t="e">
        <f t="shared" si="4"/>
        <v>#REF!</v>
      </c>
      <c r="AX8" s="149" t="e">
        <f>INDEX(DB!$B$2:$AB$62,MATCH(Perf!$AL8,DB!$A$2:$A$62,0),MATCH(Perf!AX$1,DB!$B$1:$AB$1,0))</f>
        <v>#REF!</v>
      </c>
      <c r="AY8" s="150" t="e">
        <f t="shared" si="5"/>
        <v>#REF!</v>
      </c>
      <c r="AZ8" s="149" t="e">
        <f>INDEX(DB!$B$2:$AB$62,MATCH(Perf!$AL8,DB!$A$2:$A$62,0),MATCH(Perf!AZ$1,DB!$B$1:$AB$1,0))</f>
        <v>#REF!</v>
      </c>
      <c r="BA8" s="149" t="e">
        <f>INDEX(DB!$B$2:$AB$62,MATCH(Perf!$AL8,DB!$A$2:$A$62,0),MATCH(Perf!BA$1,DB!$B$1:$AB$1,0))</f>
        <v>#REF!</v>
      </c>
      <c r="BB8" s="149" t="e">
        <f>INDEX(DB!$B$2:$AB$62,MATCH(Perf!$AL8,DB!$A$2:$A$62,0),MATCH(Perf!BB$1,DB!$B$1:$AB$1,0))</f>
        <v>#REF!</v>
      </c>
      <c r="BC8" s="149" t="e">
        <f>INDEX(DB!$B$2:$AB$62,MATCH(Perf!$AL8,DB!$A$2:$A$62,0),MATCH(Perf!BC$1,DB!$B$1:$AB$1,0))</f>
        <v>#REF!</v>
      </c>
      <c r="BD8" s="149" t="e">
        <f>INDEX(DB!$B$2:$AB$62,MATCH(Perf!$AL8,DB!$A$2:$A$62,0),MATCH(Perf!BD$1,DB!$B$1:$AB$1,0))</f>
        <v>#REF!</v>
      </c>
      <c r="BE8" s="149" t="e">
        <f>INDEX(DB!$B$2:$AB$62,MATCH(Perf!$AL8,DB!$A$2:$A$62,0),MATCH(Perf!BE$1,DB!$B$1:$AB$1,0))</f>
        <v>#REF!</v>
      </c>
      <c r="BF8" s="149" t="e">
        <f>INDEX(DB!$B$2:$AB$62,MATCH(Perf!$AL8,DB!$A$2:$A$62,0),MATCH(Perf!BF$1,DB!$B$1:$AB$1,0))</f>
        <v>#REF!</v>
      </c>
      <c r="BG8" s="149" t="e">
        <f>INDEX(DB!$B$2:$AB$62,MATCH(Perf!$AL8,DB!$A$2:$A$62,0),MATCH(Perf!BG$1,DB!$B$1:$AB$1,0))</f>
        <v>#REF!</v>
      </c>
      <c r="BH8" s="149" t="e">
        <f>INDEX(DB!$B$2:$AB$62,MATCH(Perf!$AL8,DB!$A$2:$A$62,0),MATCH(Perf!BH$1,DB!$B$1:$AB$1,0))</f>
        <v>#REF!</v>
      </c>
      <c r="BI8" s="149" t="e">
        <f>INDEX(DB!$B$2:$AB$62,MATCH(Perf!$AL8,DB!$A$2:$A$62,0),MATCH(Perf!BI$1,DB!$B$1:$AB$1,0))</f>
        <v>#REF!</v>
      </c>
      <c r="BJ8" s="149" t="e">
        <f t="shared" si="18"/>
        <v>#REF!</v>
      </c>
      <c r="BK8" s="149" t="e">
        <f>INDEX(DB!$B$2:$AB$62,MATCH(Perf!$AL8,DB!$A$2:$A$62,0),MATCH(Perf!BK$1,DB!$B$1:$AB$1,0))</f>
        <v>#REF!</v>
      </c>
      <c r="BL8" s="150" t="e">
        <f t="shared" si="7"/>
        <v>#REF!</v>
      </c>
      <c r="BM8" s="149" t="e">
        <f>INDEX(DB!$B$2:$AB$62,MATCH(Perf!$AL8,DB!$A$2:$A$62,0),MATCH(Perf!BM$1,DB!$B$1:$AB$1,0))</f>
        <v>#REF!</v>
      </c>
    </row>
    <row r="9" spans="1:74" x14ac:dyDescent="0.15">
      <c r="A9" s="151">
        <f t="shared" si="8"/>
        <v>44316</v>
      </c>
      <c r="B9" s="148" t="e" cm="1">
        <f t="array" ref="B9">SUMPRODUCT(TRANSPOSE(#REF!),Perf!$AM9:$BN9)/100</f>
        <v>#REF!</v>
      </c>
      <c r="C9" s="148" t="e" cm="1">
        <f t="array" ref="C9">SUMPRODUCT(TRANSPOSE(#REF!),Perf!$AM9:$BN9)/100</f>
        <v>#REF!</v>
      </c>
      <c r="D9" s="148" t="e" cm="1">
        <f t="array" ref="D9">SUMPRODUCT(TRANSPOSE(#REF!),Perf!$AM9:$BN9)/100</f>
        <v>#REF!</v>
      </c>
      <c r="E9" s="148" t="e" cm="1">
        <f t="array" ref="E9">SUMPRODUCT(TRANSPOSE(#REF!),Perf!$AM9:$BN9)/100</f>
        <v>#REF!</v>
      </c>
      <c r="F9" s="148" t="e" cm="1">
        <f t="array" ref="F9">SUMPRODUCT(TRANSPOSE(#REF!),Perf!$AM9:$BN9)/100</f>
        <v>#REF!</v>
      </c>
      <c r="G9" s="148" t="e">
        <f t="shared" si="9"/>
        <v>#REF!</v>
      </c>
      <c r="H9" s="148"/>
      <c r="I9" s="160">
        <f t="shared" si="10"/>
        <v>44286</v>
      </c>
      <c r="J9" s="148" t="e">
        <f t="shared" si="19"/>
        <v>#REF!</v>
      </c>
      <c r="K9" s="148" t="e">
        <f t="shared" si="20"/>
        <v>#REF!</v>
      </c>
      <c r="L9" s="148" t="e">
        <f t="shared" si="21"/>
        <v>#REF!</v>
      </c>
      <c r="M9" s="148" t="e">
        <f t="shared" si="22"/>
        <v>#REF!</v>
      </c>
      <c r="N9" s="148" t="e">
        <f t="shared" si="23"/>
        <v>#REF!</v>
      </c>
      <c r="O9" s="148" t="e">
        <f t="shared" si="24"/>
        <v>#REF!</v>
      </c>
      <c r="P9" s="148"/>
      <c r="Q9" s="160">
        <f t="shared" si="12"/>
        <v>44316</v>
      </c>
      <c r="R9" s="148" t="e">
        <f t="shared" si="13"/>
        <v>#REF!</v>
      </c>
      <c r="S9" s="148" t="e">
        <f t="shared" si="14"/>
        <v>#REF!</v>
      </c>
      <c r="T9" s="148" t="e">
        <f t="shared" si="15"/>
        <v>#REF!</v>
      </c>
      <c r="U9" s="148" t="e">
        <f t="shared" si="16"/>
        <v>#REF!</v>
      </c>
      <c r="V9" s="148" t="e">
        <f t="shared" si="17"/>
        <v>#REF!</v>
      </c>
      <c r="W9" s="148"/>
      <c r="X9" s="148"/>
      <c r="Y9" s="148"/>
      <c r="Z9" s="148"/>
      <c r="AA9" s="148"/>
      <c r="AB9" s="148"/>
      <c r="AC9" s="148"/>
      <c r="AD9" s="148"/>
      <c r="AE9" s="160"/>
      <c r="AF9" s="148"/>
      <c r="AG9" s="148"/>
      <c r="AH9" s="148"/>
      <c r="AI9" s="148"/>
      <c r="AJ9" s="148"/>
      <c r="AL9" s="151">
        <f>DB!A9</f>
        <v>44316</v>
      </c>
      <c r="AM9" s="149" t="e">
        <f>INDEX(DB!$B$2:$AB$62,MATCH(Perf!$AL9,DB!$A$2:$A$62,0),MATCH(Perf!AM$1,DB!$B$1:$AB$1,0))</f>
        <v>#REF!</v>
      </c>
      <c r="AN9" s="149" t="e">
        <f>INDEX(DB!$B$2:$AB$62,MATCH(Perf!$AL9,DB!$A$2:$A$62,0),MATCH(Perf!AN$1,DB!$B$1:$AB$1,0))</f>
        <v>#REF!</v>
      </c>
      <c r="AO9" s="149" t="e">
        <f>INDEX(DB!$B$2:$AB$62,MATCH(Perf!$AL9,DB!$A$2:$A$62,0),MATCH(Perf!AO$1,DB!$B$1:$AB$1,0))</f>
        <v>#REF!</v>
      </c>
      <c r="AP9" s="149" t="e">
        <f>INDEX(DB!$B$2:$AB$62,MATCH(Perf!$AL9,DB!$A$2:$A$62,0),MATCH(Perf!AP$1,DB!$B$1:$AB$1,0))</f>
        <v>#REF!</v>
      </c>
      <c r="AQ9" s="149" t="e">
        <f>INDEX(DB!$B$2:$AB$62,MATCH(Perf!$AL9,DB!$A$2:$A$62,0),MATCH(Perf!AQ$1,DB!$B$1:$AB$1,0))</f>
        <v>#REF!</v>
      </c>
      <c r="AR9" s="149" t="e">
        <f>INDEX(DB!$B$2:$AB$62,MATCH(Perf!$AL9,DB!$A$2:$A$62,0),MATCH(Perf!AR$1,DB!$B$1:$AB$1,0))</f>
        <v>#REF!</v>
      </c>
      <c r="AS9" s="149" t="e">
        <f>INDEX(DB!$B$2:$AB$62,MATCH(Perf!$AL9,DB!$A$2:$A$62,0),MATCH(Perf!AS$1,DB!$B$1:$AB$1,0))</f>
        <v>#REF!</v>
      </c>
      <c r="AT9" s="149" t="e">
        <f>INDEX(DB!$B$2:$AB$62,MATCH(Perf!$AL9,DB!$A$2:$A$62,0),MATCH(Perf!AT$1,DB!$B$1:$AB$1,0))</f>
        <v>#REF!</v>
      </c>
      <c r="AU9" s="150" t="e">
        <f t="shared" si="3"/>
        <v>#REF!</v>
      </c>
      <c r="AV9" s="150" t="e">
        <f t="shared" si="4"/>
        <v>#REF!</v>
      </c>
      <c r="AW9" s="154" t="e">
        <f t="shared" si="4"/>
        <v>#REF!</v>
      </c>
      <c r="AX9" s="149" t="e">
        <f>INDEX(DB!$B$2:$AB$62,MATCH(Perf!$AL9,DB!$A$2:$A$62,0),MATCH(Perf!AX$1,DB!$B$1:$AB$1,0))</f>
        <v>#REF!</v>
      </c>
      <c r="AY9" s="150" t="e">
        <f t="shared" si="5"/>
        <v>#REF!</v>
      </c>
      <c r="AZ9" s="149" t="e">
        <f>INDEX(DB!$B$2:$AB$62,MATCH(Perf!$AL9,DB!$A$2:$A$62,0),MATCH(Perf!AZ$1,DB!$B$1:$AB$1,0))</f>
        <v>#REF!</v>
      </c>
      <c r="BA9" s="149" t="e">
        <f>INDEX(DB!$B$2:$AB$62,MATCH(Perf!$AL9,DB!$A$2:$A$62,0),MATCH(Perf!BA$1,DB!$B$1:$AB$1,0))</f>
        <v>#REF!</v>
      </c>
      <c r="BB9" s="149" t="e">
        <f>INDEX(DB!$B$2:$AB$62,MATCH(Perf!$AL9,DB!$A$2:$A$62,0),MATCH(Perf!BB$1,DB!$B$1:$AB$1,0))</f>
        <v>#REF!</v>
      </c>
      <c r="BC9" s="149" t="e">
        <f>INDEX(DB!$B$2:$AB$62,MATCH(Perf!$AL9,DB!$A$2:$A$62,0),MATCH(Perf!BC$1,DB!$B$1:$AB$1,0))</f>
        <v>#REF!</v>
      </c>
      <c r="BD9" s="149" t="e">
        <f>INDEX(DB!$B$2:$AB$62,MATCH(Perf!$AL9,DB!$A$2:$A$62,0),MATCH(Perf!BD$1,DB!$B$1:$AB$1,0))</f>
        <v>#REF!</v>
      </c>
      <c r="BE9" s="149" t="e">
        <f>INDEX(DB!$B$2:$AB$62,MATCH(Perf!$AL9,DB!$A$2:$A$62,0),MATCH(Perf!BE$1,DB!$B$1:$AB$1,0))</f>
        <v>#REF!</v>
      </c>
      <c r="BF9" s="149" t="e">
        <f>INDEX(DB!$B$2:$AB$62,MATCH(Perf!$AL9,DB!$A$2:$A$62,0),MATCH(Perf!BF$1,DB!$B$1:$AB$1,0))</f>
        <v>#REF!</v>
      </c>
      <c r="BG9" s="149" t="e">
        <f>INDEX(DB!$B$2:$AB$62,MATCH(Perf!$AL9,DB!$A$2:$A$62,0),MATCH(Perf!BG$1,DB!$B$1:$AB$1,0))</f>
        <v>#REF!</v>
      </c>
      <c r="BH9" s="149" t="e">
        <f>INDEX(DB!$B$2:$AB$62,MATCH(Perf!$AL9,DB!$A$2:$A$62,0),MATCH(Perf!BH$1,DB!$B$1:$AB$1,0))</f>
        <v>#REF!</v>
      </c>
      <c r="BI9" s="149" t="e">
        <f>INDEX(DB!$B$2:$AB$62,MATCH(Perf!$AL9,DB!$A$2:$A$62,0),MATCH(Perf!BI$1,DB!$B$1:$AB$1,0))</f>
        <v>#REF!</v>
      </c>
      <c r="BJ9" s="149" t="e">
        <f t="shared" si="18"/>
        <v>#REF!</v>
      </c>
      <c r="BK9" s="149" t="e">
        <f>INDEX(DB!$B$2:$AB$62,MATCH(Perf!$AL9,DB!$A$2:$A$62,0),MATCH(Perf!BK$1,DB!$B$1:$AB$1,0))</f>
        <v>#REF!</v>
      </c>
      <c r="BL9" s="150" t="e">
        <f t="shared" si="7"/>
        <v>#REF!</v>
      </c>
      <c r="BM9" s="149" t="e">
        <f>INDEX(DB!$B$2:$AB$62,MATCH(Perf!$AL9,DB!$A$2:$A$62,0),MATCH(Perf!BM$1,DB!$B$1:$AB$1,0))</f>
        <v>#REF!</v>
      </c>
    </row>
    <row r="10" spans="1:74" x14ac:dyDescent="0.15">
      <c r="A10" s="151">
        <f t="shared" si="8"/>
        <v>44347</v>
      </c>
      <c r="B10" s="148" t="e" cm="1">
        <f t="array" ref="B10">SUMPRODUCT(TRANSPOSE(#REF!),Perf!$AM10:$BN10)/100</f>
        <v>#REF!</v>
      </c>
      <c r="C10" s="148" t="e" cm="1">
        <f t="array" ref="C10">SUMPRODUCT(TRANSPOSE(#REF!),Perf!$AM10:$BN10)/100</f>
        <v>#REF!</v>
      </c>
      <c r="D10" s="148" t="e" cm="1">
        <f t="array" ref="D10">SUMPRODUCT(TRANSPOSE(#REF!),Perf!$AM10:$BN10)/100</f>
        <v>#REF!</v>
      </c>
      <c r="E10" s="148" t="e" cm="1">
        <f t="array" ref="E10">SUMPRODUCT(TRANSPOSE(#REF!),Perf!$AM10:$BN10)/100</f>
        <v>#REF!</v>
      </c>
      <c r="F10" s="148" t="e" cm="1">
        <f t="array" ref="F10">SUMPRODUCT(TRANSPOSE(#REF!),Perf!$AM10:$BN10)/100</f>
        <v>#REF!</v>
      </c>
      <c r="G10" s="148" t="e">
        <f t="shared" si="9"/>
        <v>#REF!</v>
      </c>
      <c r="H10" s="148"/>
      <c r="I10" s="160">
        <f t="shared" si="10"/>
        <v>44316</v>
      </c>
      <c r="J10" s="148" t="e">
        <f t="shared" si="19"/>
        <v>#REF!</v>
      </c>
      <c r="K10" s="148" t="e">
        <f t="shared" si="20"/>
        <v>#REF!</v>
      </c>
      <c r="L10" s="148" t="e">
        <f t="shared" si="21"/>
        <v>#REF!</v>
      </c>
      <c r="M10" s="148" t="e">
        <f t="shared" si="22"/>
        <v>#REF!</v>
      </c>
      <c r="N10" s="148" t="e">
        <f t="shared" si="23"/>
        <v>#REF!</v>
      </c>
      <c r="O10" s="148" t="e">
        <f t="shared" si="24"/>
        <v>#REF!</v>
      </c>
      <c r="P10" s="148"/>
      <c r="Q10" s="160">
        <f t="shared" si="12"/>
        <v>44347</v>
      </c>
      <c r="R10" s="148" t="e">
        <f t="shared" si="13"/>
        <v>#REF!</v>
      </c>
      <c r="S10" s="148" t="e">
        <f t="shared" si="14"/>
        <v>#REF!</v>
      </c>
      <c r="T10" s="148" t="e">
        <f t="shared" si="15"/>
        <v>#REF!</v>
      </c>
      <c r="U10" s="148" t="e">
        <f t="shared" si="16"/>
        <v>#REF!</v>
      </c>
      <c r="V10" s="148" t="e">
        <f t="shared" si="17"/>
        <v>#REF!</v>
      </c>
      <c r="W10" s="148"/>
      <c r="X10" s="148"/>
      <c r="Y10" s="148"/>
      <c r="Z10" s="148"/>
      <c r="AA10" s="148"/>
      <c r="AB10" s="148"/>
      <c r="AC10" s="148"/>
      <c r="AD10" s="148"/>
      <c r="AE10" s="160"/>
      <c r="AF10" s="148"/>
      <c r="AG10" s="148"/>
      <c r="AH10" s="148"/>
      <c r="AI10" s="148"/>
      <c r="AJ10" s="148"/>
      <c r="AL10" s="151">
        <f>DB!A10</f>
        <v>44347</v>
      </c>
      <c r="AM10" s="149" t="e">
        <f>INDEX(DB!$B$2:$AB$62,MATCH(Perf!$AL10,DB!$A$2:$A$62,0),MATCH(Perf!AM$1,DB!$B$1:$AB$1,0))</f>
        <v>#REF!</v>
      </c>
      <c r="AN10" s="149" t="e">
        <f>INDEX(DB!$B$2:$AB$62,MATCH(Perf!$AL10,DB!$A$2:$A$62,0),MATCH(Perf!AN$1,DB!$B$1:$AB$1,0))</f>
        <v>#REF!</v>
      </c>
      <c r="AO10" s="149" t="e">
        <f>INDEX(DB!$B$2:$AB$62,MATCH(Perf!$AL10,DB!$A$2:$A$62,0),MATCH(Perf!AO$1,DB!$B$1:$AB$1,0))</f>
        <v>#REF!</v>
      </c>
      <c r="AP10" s="149" t="e">
        <f>INDEX(DB!$B$2:$AB$62,MATCH(Perf!$AL10,DB!$A$2:$A$62,0),MATCH(Perf!AP$1,DB!$B$1:$AB$1,0))</f>
        <v>#REF!</v>
      </c>
      <c r="AQ10" s="149" t="e">
        <f>INDEX(DB!$B$2:$AB$62,MATCH(Perf!$AL10,DB!$A$2:$A$62,0),MATCH(Perf!AQ$1,DB!$B$1:$AB$1,0))</f>
        <v>#REF!</v>
      </c>
      <c r="AR10" s="149" t="e">
        <f>INDEX(DB!$B$2:$AB$62,MATCH(Perf!$AL10,DB!$A$2:$A$62,0),MATCH(Perf!AR$1,DB!$B$1:$AB$1,0))</f>
        <v>#REF!</v>
      </c>
      <c r="AS10" s="149" t="e">
        <f>INDEX(DB!$B$2:$AB$62,MATCH(Perf!$AL10,DB!$A$2:$A$62,0),MATCH(Perf!AS$1,DB!$B$1:$AB$1,0))</f>
        <v>#REF!</v>
      </c>
      <c r="AT10" s="149" t="e">
        <f>INDEX(DB!$B$2:$AB$62,MATCH(Perf!$AL10,DB!$A$2:$A$62,0),MATCH(Perf!AT$1,DB!$B$1:$AB$1,0))</f>
        <v>#REF!</v>
      </c>
      <c r="AU10" s="150" t="e">
        <f t="shared" si="3"/>
        <v>#REF!</v>
      </c>
      <c r="AV10" s="150" t="e">
        <f t="shared" si="4"/>
        <v>#REF!</v>
      </c>
      <c r="AW10" s="154" t="e">
        <f t="shared" si="4"/>
        <v>#REF!</v>
      </c>
      <c r="AX10" s="149" t="e">
        <f>INDEX(DB!$B$2:$AB$62,MATCH(Perf!$AL10,DB!$A$2:$A$62,0),MATCH(Perf!AX$1,DB!$B$1:$AB$1,0))</f>
        <v>#REF!</v>
      </c>
      <c r="AY10" s="150" t="e">
        <f t="shared" si="5"/>
        <v>#REF!</v>
      </c>
      <c r="AZ10" s="149" t="e">
        <f>INDEX(DB!$B$2:$AB$62,MATCH(Perf!$AL10,DB!$A$2:$A$62,0),MATCH(Perf!AZ$1,DB!$B$1:$AB$1,0))</f>
        <v>#REF!</v>
      </c>
      <c r="BA10" s="149" t="e">
        <f>INDEX(DB!$B$2:$AB$62,MATCH(Perf!$AL10,DB!$A$2:$A$62,0),MATCH(Perf!BA$1,DB!$B$1:$AB$1,0))</f>
        <v>#REF!</v>
      </c>
      <c r="BB10" s="149" t="e">
        <f>INDEX(DB!$B$2:$AB$62,MATCH(Perf!$AL10,DB!$A$2:$A$62,0),MATCH(Perf!BB$1,DB!$B$1:$AB$1,0))</f>
        <v>#REF!</v>
      </c>
      <c r="BC10" s="149" t="e">
        <f>INDEX(DB!$B$2:$AB$62,MATCH(Perf!$AL10,DB!$A$2:$A$62,0),MATCH(Perf!BC$1,DB!$B$1:$AB$1,0))</f>
        <v>#REF!</v>
      </c>
      <c r="BD10" s="149" t="e">
        <f>INDEX(DB!$B$2:$AB$62,MATCH(Perf!$AL10,DB!$A$2:$A$62,0),MATCH(Perf!BD$1,DB!$B$1:$AB$1,0))</f>
        <v>#REF!</v>
      </c>
      <c r="BE10" s="149" t="e">
        <f>INDEX(DB!$B$2:$AB$62,MATCH(Perf!$AL10,DB!$A$2:$A$62,0),MATCH(Perf!BE$1,DB!$B$1:$AB$1,0))</f>
        <v>#REF!</v>
      </c>
      <c r="BF10" s="149" t="e">
        <f>INDEX(DB!$B$2:$AB$62,MATCH(Perf!$AL10,DB!$A$2:$A$62,0),MATCH(Perf!BF$1,DB!$B$1:$AB$1,0))</f>
        <v>#REF!</v>
      </c>
      <c r="BG10" s="149" t="e">
        <f>INDEX(DB!$B$2:$AB$62,MATCH(Perf!$AL10,DB!$A$2:$A$62,0),MATCH(Perf!BG$1,DB!$B$1:$AB$1,0))</f>
        <v>#REF!</v>
      </c>
      <c r="BH10" s="149" t="e">
        <f>INDEX(DB!$B$2:$AB$62,MATCH(Perf!$AL10,DB!$A$2:$A$62,0),MATCH(Perf!BH$1,DB!$B$1:$AB$1,0))</f>
        <v>#REF!</v>
      </c>
      <c r="BI10" s="149" t="e">
        <f>INDEX(DB!$B$2:$AB$62,MATCH(Perf!$AL10,DB!$A$2:$A$62,0),MATCH(Perf!BI$1,DB!$B$1:$AB$1,0))</f>
        <v>#REF!</v>
      </c>
      <c r="BJ10" s="149" t="e">
        <f t="shared" si="18"/>
        <v>#REF!</v>
      </c>
      <c r="BK10" s="149" t="e">
        <f>INDEX(DB!$B$2:$AB$62,MATCH(Perf!$AL10,DB!$A$2:$A$62,0),MATCH(Perf!BK$1,DB!$B$1:$AB$1,0))</f>
        <v>#REF!</v>
      </c>
      <c r="BL10" s="150" t="e">
        <f t="shared" si="7"/>
        <v>#REF!</v>
      </c>
      <c r="BM10" s="149" t="e">
        <f>INDEX(DB!$B$2:$AB$62,MATCH(Perf!$AL10,DB!$A$2:$A$62,0),MATCH(Perf!BM$1,DB!$B$1:$AB$1,0))</f>
        <v>#REF!</v>
      </c>
    </row>
    <row r="11" spans="1:74" x14ac:dyDescent="0.15">
      <c r="A11" s="151">
        <f t="shared" si="8"/>
        <v>44377</v>
      </c>
      <c r="B11" s="148" t="e" cm="1">
        <f t="array" ref="B11">SUMPRODUCT(TRANSPOSE(#REF!),Perf!$AM11:$BN11)/100</f>
        <v>#REF!</v>
      </c>
      <c r="C11" s="148" t="e" cm="1">
        <f t="array" ref="C11">SUMPRODUCT(TRANSPOSE(#REF!),Perf!$AM11:$BN11)/100</f>
        <v>#REF!</v>
      </c>
      <c r="D11" s="148" t="e" cm="1">
        <f t="array" ref="D11">SUMPRODUCT(TRANSPOSE(#REF!),Perf!$AM11:$BN11)/100</f>
        <v>#REF!</v>
      </c>
      <c r="E11" s="148" t="e" cm="1">
        <f t="array" ref="E11">SUMPRODUCT(TRANSPOSE(#REF!),Perf!$AM11:$BN11)/100</f>
        <v>#REF!</v>
      </c>
      <c r="F11" s="148" t="e" cm="1">
        <f t="array" ref="F11">SUMPRODUCT(TRANSPOSE(#REF!),Perf!$AM11:$BN11)/100</f>
        <v>#REF!</v>
      </c>
      <c r="G11" s="148" t="e">
        <f t="shared" si="9"/>
        <v>#REF!</v>
      </c>
      <c r="H11" s="148"/>
      <c r="I11" s="160">
        <f t="shared" si="10"/>
        <v>44347</v>
      </c>
      <c r="J11" s="148" t="e">
        <f t="shared" si="19"/>
        <v>#REF!</v>
      </c>
      <c r="K11" s="148" t="e">
        <f t="shared" si="20"/>
        <v>#REF!</v>
      </c>
      <c r="L11" s="148" t="e">
        <f t="shared" si="21"/>
        <v>#REF!</v>
      </c>
      <c r="M11" s="148" t="e">
        <f t="shared" si="22"/>
        <v>#REF!</v>
      </c>
      <c r="N11" s="148" t="e">
        <f t="shared" si="23"/>
        <v>#REF!</v>
      </c>
      <c r="O11" s="148" t="e">
        <f t="shared" si="24"/>
        <v>#REF!</v>
      </c>
      <c r="P11" s="148"/>
      <c r="Q11" s="160">
        <f t="shared" si="12"/>
        <v>44377</v>
      </c>
      <c r="R11" s="148" t="e">
        <f t="shared" si="13"/>
        <v>#REF!</v>
      </c>
      <c r="S11" s="148" t="e">
        <f t="shared" si="14"/>
        <v>#REF!</v>
      </c>
      <c r="T11" s="148" t="e">
        <f t="shared" si="15"/>
        <v>#REF!</v>
      </c>
      <c r="U11" s="148" t="e">
        <f t="shared" si="16"/>
        <v>#REF!</v>
      </c>
      <c r="V11" s="148" t="e">
        <f t="shared" si="17"/>
        <v>#REF!</v>
      </c>
      <c r="W11" s="148"/>
      <c r="X11" s="148"/>
      <c r="Y11" s="148"/>
      <c r="Z11" s="148"/>
      <c r="AA11" s="148"/>
      <c r="AB11" s="148"/>
      <c r="AC11" s="148"/>
      <c r="AD11" s="148"/>
      <c r="AE11" s="160"/>
      <c r="AF11" s="148"/>
      <c r="AG11" s="148"/>
      <c r="AH11" s="148"/>
      <c r="AI11" s="148"/>
      <c r="AJ11" s="148"/>
      <c r="AL11" s="151">
        <f>DB!A11</f>
        <v>44377</v>
      </c>
      <c r="AM11" s="149" t="e">
        <f>INDEX(DB!$B$2:$AB$62,MATCH(Perf!$AL11,DB!$A$2:$A$62,0),MATCH(Perf!AM$1,DB!$B$1:$AB$1,0))</f>
        <v>#REF!</v>
      </c>
      <c r="AN11" s="149" t="e">
        <f>INDEX(DB!$B$2:$AB$62,MATCH(Perf!$AL11,DB!$A$2:$A$62,0),MATCH(Perf!AN$1,DB!$B$1:$AB$1,0))</f>
        <v>#REF!</v>
      </c>
      <c r="AO11" s="149" t="e">
        <f>INDEX(DB!$B$2:$AB$62,MATCH(Perf!$AL11,DB!$A$2:$A$62,0),MATCH(Perf!AO$1,DB!$B$1:$AB$1,0))</f>
        <v>#REF!</v>
      </c>
      <c r="AP11" s="149" t="e">
        <f>INDEX(DB!$B$2:$AB$62,MATCH(Perf!$AL11,DB!$A$2:$A$62,0),MATCH(Perf!AP$1,DB!$B$1:$AB$1,0))</f>
        <v>#REF!</v>
      </c>
      <c r="AQ11" s="149" t="e">
        <f>INDEX(DB!$B$2:$AB$62,MATCH(Perf!$AL11,DB!$A$2:$A$62,0),MATCH(Perf!AQ$1,DB!$B$1:$AB$1,0))</f>
        <v>#REF!</v>
      </c>
      <c r="AR11" s="149" t="e">
        <f>INDEX(DB!$B$2:$AB$62,MATCH(Perf!$AL11,DB!$A$2:$A$62,0),MATCH(Perf!AR$1,DB!$B$1:$AB$1,0))</f>
        <v>#REF!</v>
      </c>
      <c r="AS11" s="149" t="e">
        <f>INDEX(DB!$B$2:$AB$62,MATCH(Perf!$AL11,DB!$A$2:$A$62,0),MATCH(Perf!AS$1,DB!$B$1:$AB$1,0))</f>
        <v>#REF!</v>
      </c>
      <c r="AT11" s="149" t="e">
        <f>INDEX(DB!$B$2:$AB$62,MATCH(Perf!$AL11,DB!$A$2:$A$62,0),MATCH(Perf!AT$1,DB!$B$1:$AB$1,0))</f>
        <v>#REF!</v>
      </c>
      <c r="AU11" s="150" t="e">
        <f t="shared" si="3"/>
        <v>#REF!</v>
      </c>
      <c r="AV11" s="150" t="e">
        <f t="shared" si="4"/>
        <v>#REF!</v>
      </c>
      <c r="AW11" s="154" t="e">
        <f t="shared" si="4"/>
        <v>#REF!</v>
      </c>
      <c r="AX11" s="149" t="e">
        <f>INDEX(DB!$B$2:$AB$62,MATCH(Perf!$AL11,DB!$A$2:$A$62,0),MATCH(Perf!AX$1,DB!$B$1:$AB$1,0))</f>
        <v>#REF!</v>
      </c>
      <c r="AY11" s="150" t="e">
        <f t="shared" si="5"/>
        <v>#REF!</v>
      </c>
      <c r="AZ11" s="149" t="e">
        <f>INDEX(DB!$B$2:$AB$62,MATCH(Perf!$AL11,DB!$A$2:$A$62,0),MATCH(Perf!AZ$1,DB!$B$1:$AB$1,0))</f>
        <v>#REF!</v>
      </c>
      <c r="BA11" s="149" t="e">
        <f>INDEX(DB!$B$2:$AB$62,MATCH(Perf!$AL11,DB!$A$2:$A$62,0),MATCH(Perf!BA$1,DB!$B$1:$AB$1,0))</f>
        <v>#REF!</v>
      </c>
      <c r="BB11" s="149" t="e">
        <f>INDEX(DB!$B$2:$AB$62,MATCH(Perf!$AL11,DB!$A$2:$A$62,0),MATCH(Perf!BB$1,DB!$B$1:$AB$1,0))</f>
        <v>#REF!</v>
      </c>
      <c r="BC11" s="149" t="e">
        <f>INDEX(DB!$B$2:$AB$62,MATCH(Perf!$AL11,DB!$A$2:$A$62,0),MATCH(Perf!BC$1,DB!$B$1:$AB$1,0))</f>
        <v>#REF!</v>
      </c>
      <c r="BD11" s="149" t="e">
        <f>INDEX(DB!$B$2:$AB$62,MATCH(Perf!$AL11,DB!$A$2:$A$62,0),MATCH(Perf!BD$1,DB!$B$1:$AB$1,0))</f>
        <v>#REF!</v>
      </c>
      <c r="BE11" s="149" t="e">
        <f>INDEX(DB!$B$2:$AB$62,MATCH(Perf!$AL11,DB!$A$2:$A$62,0),MATCH(Perf!BE$1,DB!$B$1:$AB$1,0))</f>
        <v>#REF!</v>
      </c>
      <c r="BF11" s="149" t="e">
        <f>INDEX(DB!$B$2:$AB$62,MATCH(Perf!$AL11,DB!$A$2:$A$62,0),MATCH(Perf!BF$1,DB!$B$1:$AB$1,0))</f>
        <v>#REF!</v>
      </c>
      <c r="BG11" s="149" t="e">
        <f>INDEX(DB!$B$2:$AB$62,MATCH(Perf!$AL11,DB!$A$2:$A$62,0),MATCH(Perf!BG$1,DB!$B$1:$AB$1,0))</f>
        <v>#REF!</v>
      </c>
      <c r="BH11" s="149" t="e">
        <f>INDEX(DB!$B$2:$AB$62,MATCH(Perf!$AL11,DB!$A$2:$A$62,0),MATCH(Perf!BH$1,DB!$B$1:$AB$1,0))</f>
        <v>#REF!</v>
      </c>
      <c r="BI11" s="149" t="e">
        <f>INDEX(DB!$B$2:$AB$62,MATCH(Perf!$AL11,DB!$A$2:$A$62,0),MATCH(Perf!BI$1,DB!$B$1:$AB$1,0))</f>
        <v>#REF!</v>
      </c>
      <c r="BJ11" s="149" t="e">
        <f t="shared" si="18"/>
        <v>#REF!</v>
      </c>
      <c r="BK11" s="149" t="e">
        <f>INDEX(DB!$B$2:$AB$62,MATCH(Perf!$AL11,DB!$A$2:$A$62,0),MATCH(Perf!BK$1,DB!$B$1:$AB$1,0))</f>
        <v>#REF!</v>
      </c>
      <c r="BL11" s="150" t="e">
        <f t="shared" si="7"/>
        <v>#REF!</v>
      </c>
      <c r="BM11" s="149" t="e">
        <f>INDEX(DB!$B$2:$AB$62,MATCH(Perf!$AL11,DB!$A$2:$A$62,0),MATCH(Perf!BM$1,DB!$B$1:$AB$1,0))</f>
        <v>#REF!</v>
      </c>
    </row>
    <row r="12" spans="1:74" x14ac:dyDescent="0.15">
      <c r="A12" s="151">
        <f t="shared" si="8"/>
        <v>44408</v>
      </c>
      <c r="B12" s="148" t="e" cm="1">
        <f t="array" ref="B12">SUMPRODUCT(TRANSPOSE(#REF!),Perf!$AM12:$BN12)/100</f>
        <v>#REF!</v>
      </c>
      <c r="C12" s="148" t="e" cm="1">
        <f t="array" ref="C12">SUMPRODUCT(TRANSPOSE(#REF!),Perf!$AM12:$BN12)/100</f>
        <v>#REF!</v>
      </c>
      <c r="D12" s="148" t="e" cm="1">
        <f t="array" ref="D12">SUMPRODUCT(TRANSPOSE(#REF!),Perf!$AM12:$BN12)/100</f>
        <v>#REF!</v>
      </c>
      <c r="E12" s="148" t="e" cm="1">
        <f t="array" ref="E12">SUMPRODUCT(TRANSPOSE(#REF!),Perf!$AM12:$BN12)/100</f>
        <v>#REF!</v>
      </c>
      <c r="F12" s="148" t="e" cm="1">
        <f t="array" ref="F12">SUMPRODUCT(TRANSPOSE(#REF!),Perf!$AM12:$BN12)/100</f>
        <v>#REF!</v>
      </c>
      <c r="G12" s="148" t="e">
        <f t="shared" si="9"/>
        <v>#REF!</v>
      </c>
      <c r="H12" s="148"/>
      <c r="I12" s="160">
        <f t="shared" si="10"/>
        <v>44377</v>
      </c>
      <c r="J12" s="148" t="e">
        <f t="shared" si="19"/>
        <v>#REF!</v>
      </c>
      <c r="K12" s="148" t="e">
        <f t="shared" si="20"/>
        <v>#REF!</v>
      </c>
      <c r="L12" s="148" t="e">
        <f t="shared" si="21"/>
        <v>#REF!</v>
      </c>
      <c r="M12" s="148" t="e">
        <f t="shared" si="22"/>
        <v>#REF!</v>
      </c>
      <c r="N12" s="148" t="e">
        <f t="shared" si="23"/>
        <v>#REF!</v>
      </c>
      <c r="O12" s="148" t="e">
        <f t="shared" si="24"/>
        <v>#REF!</v>
      </c>
      <c r="P12" s="148"/>
      <c r="Q12" s="160">
        <f t="shared" si="12"/>
        <v>44408</v>
      </c>
      <c r="R12" s="148" t="e">
        <f t="shared" si="13"/>
        <v>#REF!</v>
      </c>
      <c r="S12" s="148" t="e">
        <f t="shared" si="14"/>
        <v>#REF!</v>
      </c>
      <c r="T12" s="148" t="e">
        <f t="shared" si="15"/>
        <v>#REF!</v>
      </c>
      <c r="U12" s="148" t="e">
        <f t="shared" si="16"/>
        <v>#REF!</v>
      </c>
      <c r="V12" s="148" t="e">
        <f t="shared" si="17"/>
        <v>#REF!</v>
      </c>
      <c r="W12" s="148"/>
      <c r="AD12" s="148"/>
      <c r="AE12" s="160" t="s">
        <v>429</v>
      </c>
      <c r="AF12" s="168" t="e">
        <f>R1</f>
        <v>#REF!</v>
      </c>
      <c r="AG12" s="168" t="e">
        <f t="shared" ref="AG12:AJ12" si="25">S1</f>
        <v>#REF!</v>
      </c>
      <c r="AH12" s="168" t="e">
        <f t="shared" si="25"/>
        <v>#REF!</v>
      </c>
      <c r="AI12" s="168" t="e">
        <f t="shared" si="25"/>
        <v>#REF!</v>
      </c>
      <c r="AJ12" s="168" t="e">
        <f t="shared" si="25"/>
        <v>#REF!</v>
      </c>
      <c r="AL12" s="151">
        <f>DB!A12</f>
        <v>44408</v>
      </c>
      <c r="AM12" s="149" t="e">
        <f>INDEX(DB!$B$2:$AB$62,MATCH(Perf!$AL12,DB!$A$2:$A$62,0),MATCH(Perf!AM$1,DB!$B$1:$AB$1,0))</f>
        <v>#REF!</v>
      </c>
      <c r="AN12" s="149" t="e">
        <f>INDEX(DB!$B$2:$AB$62,MATCH(Perf!$AL12,DB!$A$2:$A$62,0),MATCH(Perf!AN$1,DB!$B$1:$AB$1,0))</f>
        <v>#REF!</v>
      </c>
      <c r="AO12" s="149" t="e">
        <f>INDEX(DB!$B$2:$AB$62,MATCH(Perf!$AL12,DB!$A$2:$A$62,0),MATCH(Perf!AO$1,DB!$B$1:$AB$1,0))</f>
        <v>#REF!</v>
      </c>
      <c r="AP12" s="149" t="e">
        <f>INDEX(DB!$B$2:$AB$62,MATCH(Perf!$AL12,DB!$A$2:$A$62,0),MATCH(Perf!AP$1,DB!$B$1:$AB$1,0))</f>
        <v>#REF!</v>
      </c>
      <c r="AQ12" s="149" t="e">
        <f>INDEX(DB!$B$2:$AB$62,MATCH(Perf!$AL12,DB!$A$2:$A$62,0),MATCH(Perf!AQ$1,DB!$B$1:$AB$1,0))</f>
        <v>#REF!</v>
      </c>
      <c r="AR12" s="149" t="e">
        <f>INDEX(DB!$B$2:$AB$62,MATCH(Perf!$AL12,DB!$A$2:$A$62,0),MATCH(Perf!AR$1,DB!$B$1:$AB$1,0))</f>
        <v>#REF!</v>
      </c>
      <c r="AS12" s="149" t="e">
        <f>INDEX(DB!$B$2:$AB$62,MATCH(Perf!$AL12,DB!$A$2:$A$62,0),MATCH(Perf!AS$1,DB!$B$1:$AB$1,0))</f>
        <v>#REF!</v>
      </c>
      <c r="AT12" s="149" t="e">
        <f>INDEX(DB!$B$2:$AB$62,MATCH(Perf!$AL12,DB!$A$2:$A$62,0),MATCH(Perf!AT$1,DB!$B$1:$AB$1,0))</f>
        <v>#REF!</v>
      </c>
      <c r="AU12" s="150" t="e">
        <f t="shared" si="3"/>
        <v>#REF!</v>
      </c>
      <c r="AV12" s="150" t="e">
        <f t="shared" si="4"/>
        <v>#REF!</v>
      </c>
      <c r="AW12" s="154" t="e">
        <f t="shared" si="4"/>
        <v>#REF!</v>
      </c>
      <c r="AX12" s="149" t="e">
        <f>INDEX(DB!$B$2:$AB$62,MATCH(Perf!$AL12,DB!$A$2:$A$62,0),MATCH(Perf!AX$1,DB!$B$1:$AB$1,0))</f>
        <v>#REF!</v>
      </c>
      <c r="AY12" s="150" t="e">
        <f t="shared" si="5"/>
        <v>#REF!</v>
      </c>
      <c r="AZ12" s="149" t="e">
        <f>INDEX(DB!$B$2:$AB$62,MATCH(Perf!$AL12,DB!$A$2:$A$62,0),MATCH(Perf!AZ$1,DB!$B$1:$AB$1,0))</f>
        <v>#REF!</v>
      </c>
      <c r="BA12" s="149" t="e">
        <f>INDEX(DB!$B$2:$AB$62,MATCH(Perf!$AL12,DB!$A$2:$A$62,0),MATCH(Perf!BA$1,DB!$B$1:$AB$1,0))</f>
        <v>#REF!</v>
      </c>
      <c r="BB12" s="149" t="e">
        <f>INDEX(DB!$B$2:$AB$62,MATCH(Perf!$AL12,DB!$A$2:$A$62,0),MATCH(Perf!BB$1,DB!$B$1:$AB$1,0))</f>
        <v>#REF!</v>
      </c>
      <c r="BC12" s="149" t="e">
        <f>INDEX(DB!$B$2:$AB$62,MATCH(Perf!$AL12,DB!$A$2:$A$62,0),MATCH(Perf!BC$1,DB!$B$1:$AB$1,0))</f>
        <v>#REF!</v>
      </c>
      <c r="BD12" s="149" t="e">
        <f>INDEX(DB!$B$2:$AB$62,MATCH(Perf!$AL12,DB!$A$2:$A$62,0),MATCH(Perf!BD$1,DB!$B$1:$AB$1,0))</f>
        <v>#REF!</v>
      </c>
      <c r="BE12" s="149" t="e">
        <f>INDEX(DB!$B$2:$AB$62,MATCH(Perf!$AL12,DB!$A$2:$A$62,0),MATCH(Perf!BE$1,DB!$B$1:$AB$1,0))</f>
        <v>#REF!</v>
      </c>
      <c r="BF12" s="149" t="e">
        <f>INDEX(DB!$B$2:$AB$62,MATCH(Perf!$AL12,DB!$A$2:$A$62,0),MATCH(Perf!BF$1,DB!$B$1:$AB$1,0))</f>
        <v>#REF!</v>
      </c>
      <c r="BG12" s="149" t="e">
        <f>INDEX(DB!$B$2:$AB$62,MATCH(Perf!$AL12,DB!$A$2:$A$62,0),MATCH(Perf!BG$1,DB!$B$1:$AB$1,0))</f>
        <v>#REF!</v>
      </c>
      <c r="BH12" s="149" t="e">
        <f>INDEX(DB!$B$2:$AB$62,MATCH(Perf!$AL12,DB!$A$2:$A$62,0),MATCH(Perf!BH$1,DB!$B$1:$AB$1,0))</f>
        <v>#REF!</v>
      </c>
      <c r="BI12" s="149" t="e">
        <f>INDEX(DB!$B$2:$AB$62,MATCH(Perf!$AL12,DB!$A$2:$A$62,0),MATCH(Perf!BI$1,DB!$B$1:$AB$1,0))</f>
        <v>#REF!</v>
      </c>
      <c r="BJ12" s="149" t="e">
        <f t="shared" si="18"/>
        <v>#REF!</v>
      </c>
      <c r="BK12" s="149" t="e">
        <f>INDEX(DB!$B$2:$AB$62,MATCH(Perf!$AL12,DB!$A$2:$A$62,0),MATCH(Perf!BK$1,DB!$B$1:$AB$1,0))</f>
        <v>#REF!</v>
      </c>
      <c r="BL12" s="150" t="e">
        <f t="shared" si="7"/>
        <v>#REF!</v>
      </c>
      <c r="BM12" s="149" t="e">
        <f>INDEX(DB!$B$2:$AB$62,MATCH(Perf!$AL12,DB!$A$2:$A$62,0),MATCH(Perf!BM$1,DB!$B$1:$AB$1,0))</f>
        <v>#REF!</v>
      </c>
    </row>
    <row r="13" spans="1:74" x14ac:dyDescent="0.15">
      <c r="A13" s="151">
        <f t="shared" si="8"/>
        <v>44439</v>
      </c>
      <c r="B13" s="148" t="e" cm="1">
        <f t="array" ref="B13">SUMPRODUCT(TRANSPOSE(#REF!),Perf!$AM13:$BN13)/100</f>
        <v>#REF!</v>
      </c>
      <c r="C13" s="148" t="e" cm="1">
        <f t="array" ref="C13">SUMPRODUCT(TRANSPOSE(#REF!),Perf!$AM13:$BN13)/100</f>
        <v>#REF!</v>
      </c>
      <c r="D13" s="148" t="e" cm="1">
        <f t="array" ref="D13">SUMPRODUCT(TRANSPOSE(#REF!),Perf!$AM13:$BN13)/100</f>
        <v>#REF!</v>
      </c>
      <c r="E13" s="148" t="e" cm="1">
        <f t="array" ref="E13">SUMPRODUCT(TRANSPOSE(#REF!),Perf!$AM13:$BN13)/100</f>
        <v>#REF!</v>
      </c>
      <c r="F13" s="148" t="e" cm="1">
        <f t="array" ref="F13">SUMPRODUCT(TRANSPOSE(#REF!),Perf!$AM13:$BN13)/100</f>
        <v>#REF!</v>
      </c>
      <c r="G13" s="148" t="e">
        <f t="shared" si="9"/>
        <v>#REF!</v>
      </c>
      <c r="H13" s="148"/>
      <c r="I13" s="160">
        <f t="shared" si="10"/>
        <v>44408</v>
      </c>
      <c r="J13" s="148" t="e">
        <f t="shared" si="19"/>
        <v>#REF!</v>
      </c>
      <c r="K13" s="148" t="e">
        <f t="shared" si="20"/>
        <v>#REF!</v>
      </c>
      <c r="L13" s="148" t="e">
        <f t="shared" si="21"/>
        <v>#REF!</v>
      </c>
      <c r="M13" s="148" t="e">
        <f t="shared" si="22"/>
        <v>#REF!</v>
      </c>
      <c r="N13" s="148" t="e">
        <f t="shared" si="23"/>
        <v>#REF!</v>
      </c>
      <c r="O13" s="148" t="e">
        <f t="shared" si="24"/>
        <v>#REF!</v>
      </c>
      <c r="P13" s="148"/>
      <c r="Q13" s="160">
        <f t="shared" si="12"/>
        <v>44439</v>
      </c>
      <c r="R13" s="148" t="e">
        <f t="shared" si="13"/>
        <v>#REF!</v>
      </c>
      <c r="S13" s="148" t="e">
        <f t="shared" si="14"/>
        <v>#REF!</v>
      </c>
      <c r="T13" s="148" t="e">
        <f t="shared" si="15"/>
        <v>#REF!</v>
      </c>
      <c r="U13" s="148" t="e">
        <f t="shared" si="16"/>
        <v>#REF!</v>
      </c>
      <c r="V13" s="148" t="e">
        <f t="shared" si="17"/>
        <v>#REF!</v>
      </c>
      <c r="W13" s="148"/>
      <c r="X13" s="160"/>
      <c r="Y13" s="148"/>
      <c r="Z13" s="148"/>
      <c r="AA13" s="148"/>
      <c r="AB13" s="148"/>
      <c r="AC13" s="148"/>
      <c r="AD13" s="148"/>
      <c r="AE13" s="160">
        <f t="shared" ref="AE13:AE44" si="26">A13</f>
        <v>44439</v>
      </c>
      <c r="AF13" s="170" t="e">
        <f>_xlfn.STDEV.P(R2:R13)*SQRT(12)</f>
        <v>#REF!</v>
      </c>
      <c r="AG13" s="170" t="e">
        <f t="shared" ref="AG13:AJ13" si="27">_xlfn.STDEV.P(S2:S13)*SQRT(12)</f>
        <v>#REF!</v>
      </c>
      <c r="AH13" s="170" t="e">
        <f t="shared" si="27"/>
        <v>#REF!</v>
      </c>
      <c r="AI13" s="170" t="e">
        <f t="shared" si="27"/>
        <v>#REF!</v>
      </c>
      <c r="AJ13" s="170" t="e">
        <f t="shared" si="27"/>
        <v>#REF!</v>
      </c>
      <c r="AL13" s="151">
        <f>DB!A13</f>
        <v>44439</v>
      </c>
      <c r="AM13" s="149" t="e">
        <f>INDEX(DB!$B$2:$AB$62,MATCH(Perf!$AL13,DB!$A$2:$A$62,0),MATCH(Perf!AM$1,DB!$B$1:$AB$1,0))</f>
        <v>#REF!</v>
      </c>
      <c r="AN13" s="149" t="e">
        <f>INDEX(DB!$B$2:$AB$62,MATCH(Perf!$AL13,DB!$A$2:$A$62,0),MATCH(Perf!AN$1,DB!$B$1:$AB$1,0))</f>
        <v>#REF!</v>
      </c>
      <c r="AO13" s="149" t="e">
        <f>INDEX(DB!$B$2:$AB$62,MATCH(Perf!$AL13,DB!$A$2:$A$62,0),MATCH(Perf!AO$1,DB!$B$1:$AB$1,0))</f>
        <v>#REF!</v>
      </c>
      <c r="AP13" s="149" t="e">
        <f>INDEX(DB!$B$2:$AB$62,MATCH(Perf!$AL13,DB!$A$2:$A$62,0),MATCH(Perf!AP$1,DB!$B$1:$AB$1,0))</f>
        <v>#REF!</v>
      </c>
      <c r="AQ13" s="149" t="e">
        <f>INDEX(DB!$B$2:$AB$62,MATCH(Perf!$AL13,DB!$A$2:$A$62,0),MATCH(Perf!AQ$1,DB!$B$1:$AB$1,0))</f>
        <v>#REF!</v>
      </c>
      <c r="AR13" s="149" t="e">
        <f>INDEX(DB!$B$2:$AB$62,MATCH(Perf!$AL13,DB!$A$2:$A$62,0),MATCH(Perf!AR$1,DB!$B$1:$AB$1,0))</f>
        <v>#REF!</v>
      </c>
      <c r="AS13" s="149" t="e">
        <f>INDEX(DB!$B$2:$AB$62,MATCH(Perf!$AL13,DB!$A$2:$A$62,0),MATCH(Perf!AS$1,DB!$B$1:$AB$1,0))</f>
        <v>#REF!</v>
      </c>
      <c r="AT13" s="149" t="e">
        <f>INDEX(DB!$B$2:$AB$62,MATCH(Perf!$AL13,DB!$A$2:$A$62,0),MATCH(Perf!AT$1,DB!$B$1:$AB$1,0))</f>
        <v>#REF!</v>
      </c>
      <c r="AU13" s="150" t="e">
        <f t="shared" si="3"/>
        <v>#REF!</v>
      </c>
      <c r="AV13" s="150" t="e">
        <f t="shared" si="4"/>
        <v>#REF!</v>
      </c>
      <c r="AW13" s="154" t="e">
        <f t="shared" si="4"/>
        <v>#REF!</v>
      </c>
      <c r="AX13" s="149" t="e">
        <f>INDEX(DB!$B$2:$AB$62,MATCH(Perf!$AL13,DB!$A$2:$A$62,0),MATCH(Perf!AX$1,DB!$B$1:$AB$1,0))</f>
        <v>#REF!</v>
      </c>
      <c r="AY13" s="150" t="e">
        <f t="shared" si="5"/>
        <v>#REF!</v>
      </c>
      <c r="AZ13" s="149" t="e">
        <f>INDEX(DB!$B$2:$AB$62,MATCH(Perf!$AL13,DB!$A$2:$A$62,0),MATCH(Perf!AZ$1,DB!$B$1:$AB$1,0))</f>
        <v>#REF!</v>
      </c>
      <c r="BA13" s="149" t="e">
        <f>INDEX(DB!$B$2:$AB$62,MATCH(Perf!$AL13,DB!$A$2:$A$62,0),MATCH(Perf!BA$1,DB!$B$1:$AB$1,0))</f>
        <v>#REF!</v>
      </c>
      <c r="BB13" s="149" t="e">
        <f>INDEX(DB!$B$2:$AB$62,MATCH(Perf!$AL13,DB!$A$2:$A$62,0),MATCH(Perf!BB$1,DB!$B$1:$AB$1,0))</f>
        <v>#REF!</v>
      </c>
      <c r="BC13" s="149" t="e">
        <f>INDEX(DB!$B$2:$AB$62,MATCH(Perf!$AL13,DB!$A$2:$A$62,0),MATCH(Perf!BC$1,DB!$B$1:$AB$1,0))</f>
        <v>#REF!</v>
      </c>
      <c r="BD13" s="149" t="e">
        <f>INDEX(DB!$B$2:$AB$62,MATCH(Perf!$AL13,DB!$A$2:$A$62,0),MATCH(Perf!BD$1,DB!$B$1:$AB$1,0))</f>
        <v>#REF!</v>
      </c>
      <c r="BE13" s="149" t="e">
        <f>INDEX(DB!$B$2:$AB$62,MATCH(Perf!$AL13,DB!$A$2:$A$62,0),MATCH(Perf!BE$1,DB!$B$1:$AB$1,0))</f>
        <v>#REF!</v>
      </c>
      <c r="BF13" s="149" t="e">
        <f>INDEX(DB!$B$2:$AB$62,MATCH(Perf!$AL13,DB!$A$2:$A$62,0),MATCH(Perf!BF$1,DB!$B$1:$AB$1,0))</f>
        <v>#REF!</v>
      </c>
      <c r="BG13" s="149" t="e">
        <f>INDEX(DB!$B$2:$AB$62,MATCH(Perf!$AL13,DB!$A$2:$A$62,0),MATCH(Perf!BG$1,DB!$B$1:$AB$1,0))</f>
        <v>#REF!</v>
      </c>
      <c r="BH13" s="149" t="e">
        <f>INDEX(DB!$B$2:$AB$62,MATCH(Perf!$AL13,DB!$A$2:$A$62,0),MATCH(Perf!BH$1,DB!$B$1:$AB$1,0))</f>
        <v>#REF!</v>
      </c>
      <c r="BI13" s="149" t="e">
        <f>INDEX(DB!$B$2:$AB$62,MATCH(Perf!$AL13,DB!$A$2:$A$62,0),MATCH(Perf!BI$1,DB!$B$1:$AB$1,0))</f>
        <v>#REF!</v>
      </c>
      <c r="BJ13" s="149" t="e">
        <f t="shared" si="18"/>
        <v>#REF!</v>
      </c>
      <c r="BK13" s="149" t="e">
        <f>INDEX(DB!$B$2:$AB$62,MATCH(Perf!$AL13,DB!$A$2:$A$62,0),MATCH(Perf!BK$1,DB!$B$1:$AB$1,0))</f>
        <v>#REF!</v>
      </c>
      <c r="BL13" s="150" t="e">
        <f t="shared" si="7"/>
        <v>#REF!</v>
      </c>
      <c r="BM13" s="149" t="e">
        <f>INDEX(DB!$B$2:$AB$62,MATCH(Perf!$AL13,DB!$A$2:$A$62,0),MATCH(Perf!BM$1,DB!$B$1:$AB$1,0))</f>
        <v>#REF!</v>
      </c>
    </row>
    <row r="14" spans="1:74" x14ac:dyDescent="0.15">
      <c r="A14" s="151">
        <f t="shared" si="8"/>
        <v>44469</v>
      </c>
      <c r="B14" s="148" t="e" cm="1">
        <f t="array" ref="B14">SUMPRODUCT(TRANSPOSE(#REF!),Perf!$AM14:$BN14)/100</f>
        <v>#REF!</v>
      </c>
      <c r="C14" s="148" t="e" cm="1">
        <f t="array" ref="C14">SUMPRODUCT(TRANSPOSE(#REF!),Perf!$AM14:$BN14)/100</f>
        <v>#REF!</v>
      </c>
      <c r="D14" s="148" t="e" cm="1">
        <f t="array" ref="D14">SUMPRODUCT(TRANSPOSE(#REF!),Perf!$AM14:$BN14)/100</f>
        <v>#REF!</v>
      </c>
      <c r="E14" s="148" t="e" cm="1">
        <f t="array" ref="E14">SUMPRODUCT(TRANSPOSE(#REF!),Perf!$AM14:$BN14)/100</f>
        <v>#REF!</v>
      </c>
      <c r="F14" s="148" t="e" cm="1">
        <f t="array" ref="F14">SUMPRODUCT(TRANSPOSE(#REF!),Perf!$AM14:$BN14)/100</f>
        <v>#REF!</v>
      </c>
      <c r="G14" s="148" t="e">
        <f t="shared" si="9"/>
        <v>#REF!</v>
      </c>
      <c r="H14" s="148"/>
      <c r="I14" s="160">
        <f t="shared" si="10"/>
        <v>44439</v>
      </c>
      <c r="J14" s="148" t="e">
        <f t="shared" si="19"/>
        <v>#REF!</v>
      </c>
      <c r="K14" s="148" t="e">
        <f t="shared" si="20"/>
        <v>#REF!</v>
      </c>
      <c r="L14" s="148" t="e">
        <f t="shared" si="21"/>
        <v>#REF!</v>
      </c>
      <c r="M14" s="148" t="e">
        <f t="shared" si="22"/>
        <v>#REF!</v>
      </c>
      <c r="N14" s="148" t="e">
        <f t="shared" si="23"/>
        <v>#REF!</v>
      </c>
      <c r="O14" s="148" t="e">
        <f t="shared" si="24"/>
        <v>#REF!</v>
      </c>
      <c r="P14" s="148"/>
      <c r="Q14" s="160">
        <f t="shared" si="12"/>
        <v>44469</v>
      </c>
      <c r="R14" s="148" t="e">
        <f t="shared" si="13"/>
        <v>#REF!</v>
      </c>
      <c r="S14" s="148" t="e">
        <f t="shared" si="14"/>
        <v>#REF!</v>
      </c>
      <c r="T14" s="148" t="e">
        <f t="shared" si="15"/>
        <v>#REF!</v>
      </c>
      <c r="U14" s="148" t="e">
        <f t="shared" si="16"/>
        <v>#REF!</v>
      </c>
      <c r="V14" s="148" t="e">
        <f t="shared" si="17"/>
        <v>#REF!</v>
      </c>
      <c r="W14" s="148"/>
      <c r="X14" s="160"/>
      <c r="Y14" s="148"/>
      <c r="Z14" s="148"/>
      <c r="AA14" s="148"/>
      <c r="AB14" s="148"/>
      <c r="AC14" s="148"/>
      <c r="AD14" s="148"/>
      <c r="AE14" s="160">
        <f t="shared" si="26"/>
        <v>44469</v>
      </c>
      <c r="AF14" s="170" t="e">
        <f t="shared" ref="AF14:AF62" si="28">_xlfn.STDEV.P(R3:R14)*SQRT(12)</f>
        <v>#REF!</v>
      </c>
      <c r="AG14" s="170" t="e">
        <f t="shared" ref="AG14:AG62" si="29">_xlfn.STDEV.P(S3:S14)*SQRT(12)</f>
        <v>#REF!</v>
      </c>
      <c r="AH14" s="170" t="e">
        <f t="shared" ref="AH14:AH62" si="30">_xlfn.STDEV.P(T3:T14)*SQRT(12)</f>
        <v>#REF!</v>
      </c>
      <c r="AI14" s="170" t="e">
        <f t="shared" ref="AI14:AI62" si="31">_xlfn.STDEV.P(U3:U14)*SQRT(12)</f>
        <v>#REF!</v>
      </c>
      <c r="AJ14" s="170" t="e">
        <f t="shared" ref="AJ14:AJ62" si="32">_xlfn.STDEV.P(V3:V14)*SQRT(12)</f>
        <v>#REF!</v>
      </c>
      <c r="AL14" s="151">
        <f>DB!A14</f>
        <v>44469</v>
      </c>
      <c r="AM14" s="149" t="e">
        <f>INDEX(DB!$B$2:$AB$62,MATCH(Perf!$AL14,DB!$A$2:$A$62,0),MATCH(Perf!AM$1,DB!$B$1:$AB$1,0))</f>
        <v>#REF!</v>
      </c>
      <c r="AN14" s="149" t="e">
        <f>INDEX(DB!$B$2:$AB$62,MATCH(Perf!$AL14,DB!$A$2:$A$62,0),MATCH(Perf!AN$1,DB!$B$1:$AB$1,0))</f>
        <v>#REF!</v>
      </c>
      <c r="AO14" s="149" t="e">
        <f>INDEX(DB!$B$2:$AB$62,MATCH(Perf!$AL14,DB!$A$2:$A$62,0),MATCH(Perf!AO$1,DB!$B$1:$AB$1,0))</f>
        <v>#REF!</v>
      </c>
      <c r="AP14" s="149" t="e">
        <f>INDEX(DB!$B$2:$AB$62,MATCH(Perf!$AL14,DB!$A$2:$A$62,0),MATCH(Perf!AP$1,DB!$B$1:$AB$1,0))</f>
        <v>#REF!</v>
      </c>
      <c r="AQ14" s="149" t="e">
        <f>INDEX(DB!$B$2:$AB$62,MATCH(Perf!$AL14,DB!$A$2:$A$62,0),MATCH(Perf!AQ$1,DB!$B$1:$AB$1,0))</f>
        <v>#REF!</v>
      </c>
      <c r="AR14" s="149" t="e">
        <f>INDEX(DB!$B$2:$AB$62,MATCH(Perf!$AL14,DB!$A$2:$A$62,0),MATCH(Perf!AR$1,DB!$B$1:$AB$1,0))</f>
        <v>#REF!</v>
      </c>
      <c r="AS14" s="149" t="e">
        <f>INDEX(DB!$B$2:$AB$62,MATCH(Perf!$AL14,DB!$A$2:$A$62,0),MATCH(Perf!AS$1,DB!$B$1:$AB$1,0))</f>
        <v>#REF!</v>
      </c>
      <c r="AT14" s="149" t="e">
        <f>INDEX(DB!$B$2:$AB$62,MATCH(Perf!$AL14,DB!$A$2:$A$62,0),MATCH(Perf!AT$1,DB!$B$1:$AB$1,0))</f>
        <v>#REF!</v>
      </c>
      <c r="AU14" s="150" t="e">
        <f t="shared" si="3"/>
        <v>#REF!</v>
      </c>
      <c r="AV14" s="150" t="e">
        <f t="shared" si="4"/>
        <v>#REF!</v>
      </c>
      <c r="AW14" s="154" t="e">
        <f t="shared" si="4"/>
        <v>#REF!</v>
      </c>
      <c r="AX14" s="149" t="e">
        <f>INDEX(DB!$B$2:$AB$62,MATCH(Perf!$AL14,DB!$A$2:$A$62,0),MATCH(Perf!AX$1,DB!$B$1:$AB$1,0))</f>
        <v>#REF!</v>
      </c>
      <c r="AY14" s="150" t="e">
        <f t="shared" si="5"/>
        <v>#REF!</v>
      </c>
      <c r="AZ14" s="149" t="e">
        <f>INDEX(DB!$B$2:$AB$62,MATCH(Perf!$AL14,DB!$A$2:$A$62,0),MATCH(Perf!AZ$1,DB!$B$1:$AB$1,0))</f>
        <v>#REF!</v>
      </c>
      <c r="BA14" s="149" t="e">
        <f>INDEX(DB!$B$2:$AB$62,MATCH(Perf!$AL14,DB!$A$2:$A$62,0),MATCH(Perf!BA$1,DB!$B$1:$AB$1,0))</f>
        <v>#REF!</v>
      </c>
      <c r="BB14" s="149" t="e">
        <f>INDEX(DB!$B$2:$AB$62,MATCH(Perf!$AL14,DB!$A$2:$A$62,0),MATCH(Perf!BB$1,DB!$B$1:$AB$1,0))</f>
        <v>#REF!</v>
      </c>
      <c r="BC14" s="149" t="e">
        <f>INDEX(DB!$B$2:$AB$62,MATCH(Perf!$AL14,DB!$A$2:$A$62,0),MATCH(Perf!BC$1,DB!$B$1:$AB$1,0))</f>
        <v>#REF!</v>
      </c>
      <c r="BD14" s="149" t="e">
        <f>INDEX(DB!$B$2:$AB$62,MATCH(Perf!$AL14,DB!$A$2:$A$62,0),MATCH(Perf!BD$1,DB!$B$1:$AB$1,0))</f>
        <v>#REF!</v>
      </c>
      <c r="BE14" s="149" t="e">
        <f>INDEX(DB!$B$2:$AB$62,MATCH(Perf!$AL14,DB!$A$2:$A$62,0),MATCH(Perf!BE$1,DB!$B$1:$AB$1,0))</f>
        <v>#REF!</v>
      </c>
      <c r="BF14" s="149" t="e">
        <f>INDEX(DB!$B$2:$AB$62,MATCH(Perf!$AL14,DB!$A$2:$A$62,0),MATCH(Perf!BF$1,DB!$B$1:$AB$1,0))</f>
        <v>#REF!</v>
      </c>
      <c r="BG14" s="149" t="e">
        <f>INDEX(DB!$B$2:$AB$62,MATCH(Perf!$AL14,DB!$A$2:$A$62,0),MATCH(Perf!BG$1,DB!$B$1:$AB$1,0))</f>
        <v>#REF!</v>
      </c>
      <c r="BH14" s="149" t="e">
        <f>INDEX(DB!$B$2:$AB$62,MATCH(Perf!$AL14,DB!$A$2:$A$62,0),MATCH(Perf!BH$1,DB!$B$1:$AB$1,0))</f>
        <v>#REF!</v>
      </c>
      <c r="BI14" s="149" t="e">
        <f>INDEX(DB!$B$2:$AB$62,MATCH(Perf!$AL14,DB!$A$2:$A$62,0),MATCH(Perf!BI$1,DB!$B$1:$AB$1,0))</f>
        <v>#REF!</v>
      </c>
      <c r="BJ14" s="149" t="e">
        <f t="shared" si="18"/>
        <v>#REF!</v>
      </c>
      <c r="BK14" s="149" t="e">
        <f>INDEX(DB!$B$2:$AB$62,MATCH(Perf!$AL14,DB!$A$2:$A$62,0),MATCH(Perf!BK$1,DB!$B$1:$AB$1,0))</f>
        <v>#REF!</v>
      </c>
      <c r="BL14" s="150" t="e">
        <f t="shared" si="7"/>
        <v>#REF!</v>
      </c>
      <c r="BM14" s="149" t="e">
        <f>INDEX(DB!$B$2:$AB$62,MATCH(Perf!$AL14,DB!$A$2:$A$62,0),MATCH(Perf!BM$1,DB!$B$1:$AB$1,0))</f>
        <v>#REF!</v>
      </c>
    </row>
    <row r="15" spans="1:74" x14ac:dyDescent="0.15">
      <c r="A15" s="151">
        <f t="shared" si="8"/>
        <v>44500</v>
      </c>
      <c r="B15" s="148" t="e" cm="1">
        <f t="array" ref="B15">SUMPRODUCT(TRANSPOSE(#REF!),Perf!$AM15:$BN15)/100</f>
        <v>#REF!</v>
      </c>
      <c r="C15" s="148" t="e" cm="1">
        <f t="array" ref="C15">SUMPRODUCT(TRANSPOSE(#REF!),Perf!$AM15:$BN15)/100</f>
        <v>#REF!</v>
      </c>
      <c r="D15" s="148" t="e" cm="1">
        <f t="array" ref="D15">SUMPRODUCT(TRANSPOSE(#REF!),Perf!$AM15:$BN15)/100</f>
        <v>#REF!</v>
      </c>
      <c r="E15" s="148" t="e" cm="1">
        <f t="array" ref="E15">SUMPRODUCT(TRANSPOSE(#REF!),Perf!$AM15:$BN15)/100</f>
        <v>#REF!</v>
      </c>
      <c r="F15" s="148" t="e" cm="1">
        <f t="array" ref="F15">SUMPRODUCT(TRANSPOSE(#REF!),Perf!$AM15:$BN15)/100</f>
        <v>#REF!</v>
      </c>
      <c r="G15" s="148" t="e">
        <f t="shared" si="9"/>
        <v>#REF!</v>
      </c>
      <c r="H15" s="148"/>
      <c r="I15" s="160">
        <f t="shared" si="10"/>
        <v>44469</v>
      </c>
      <c r="J15" s="148" t="e">
        <f t="shared" si="19"/>
        <v>#REF!</v>
      </c>
      <c r="K15" s="148" t="e">
        <f t="shared" si="20"/>
        <v>#REF!</v>
      </c>
      <c r="L15" s="148" t="e">
        <f t="shared" si="21"/>
        <v>#REF!</v>
      </c>
      <c r="M15" s="148" t="e">
        <f t="shared" si="22"/>
        <v>#REF!</v>
      </c>
      <c r="N15" s="148" t="e">
        <f t="shared" si="23"/>
        <v>#REF!</v>
      </c>
      <c r="O15" s="148" t="e">
        <f t="shared" si="24"/>
        <v>#REF!</v>
      </c>
      <c r="P15" s="148"/>
      <c r="Q15" s="160">
        <f t="shared" si="12"/>
        <v>44500</v>
      </c>
      <c r="R15" s="148" t="e">
        <f t="shared" si="13"/>
        <v>#REF!</v>
      </c>
      <c r="S15" s="148" t="e">
        <f t="shared" si="14"/>
        <v>#REF!</v>
      </c>
      <c r="T15" s="148" t="e">
        <f t="shared" si="15"/>
        <v>#REF!</v>
      </c>
      <c r="U15" s="148" t="e">
        <f t="shared" si="16"/>
        <v>#REF!</v>
      </c>
      <c r="V15" s="148" t="e">
        <f t="shared" si="17"/>
        <v>#REF!</v>
      </c>
      <c r="W15" s="148"/>
      <c r="X15" s="160"/>
      <c r="Y15" s="148"/>
      <c r="Z15" s="148"/>
      <c r="AA15" s="148"/>
      <c r="AB15" s="148"/>
      <c r="AC15" s="148"/>
      <c r="AD15" s="148"/>
      <c r="AE15" s="160">
        <f t="shared" si="26"/>
        <v>44500</v>
      </c>
      <c r="AF15" s="170" t="e">
        <f t="shared" si="28"/>
        <v>#REF!</v>
      </c>
      <c r="AG15" s="170" t="e">
        <f t="shared" si="29"/>
        <v>#REF!</v>
      </c>
      <c r="AH15" s="170" t="e">
        <f t="shared" si="30"/>
        <v>#REF!</v>
      </c>
      <c r="AI15" s="170" t="e">
        <f t="shared" si="31"/>
        <v>#REF!</v>
      </c>
      <c r="AJ15" s="170" t="e">
        <f t="shared" si="32"/>
        <v>#REF!</v>
      </c>
      <c r="AL15" s="151">
        <f>DB!A15</f>
        <v>44500</v>
      </c>
      <c r="AM15" s="149" t="e">
        <f>INDEX(DB!$B$2:$AB$62,MATCH(Perf!$AL15,DB!$A$2:$A$62,0),MATCH(Perf!AM$1,DB!$B$1:$AB$1,0))</f>
        <v>#REF!</v>
      </c>
      <c r="AN15" s="149" t="e">
        <f>INDEX(DB!$B$2:$AB$62,MATCH(Perf!$AL15,DB!$A$2:$A$62,0),MATCH(Perf!AN$1,DB!$B$1:$AB$1,0))</f>
        <v>#REF!</v>
      </c>
      <c r="AO15" s="149" t="e">
        <f>INDEX(DB!$B$2:$AB$62,MATCH(Perf!$AL15,DB!$A$2:$A$62,0),MATCH(Perf!AO$1,DB!$B$1:$AB$1,0))</f>
        <v>#REF!</v>
      </c>
      <c r="AP15" s="149" t="e">
        <f>INDEX(DB!$B$2:$AB$62,MATCH(Perf!$AL15,DB!$A$2:$A$62,0),MATCH(Perf!AP$1,DB!$B$1:$AB$1,0))</f>
        <v>#REF!</v>
      </c>
      <c r="AQ15" s="149" t="e">
        <f>INDEX(DB!$B$2:$AB$62,MATCH(Perf!$AL15,DB!$A$2:$A$62,0),MATCH(Perf!AQ$1,DB!$B$1:$AB$1,0))</f>
        <v>#REF!</v>
      </c>
      <c r="AR15" s="149" t="e">
        <f>INDEX(DB!$B$2:$AB$62,MATCH(Perf!$AL15,DB!$A$2:$A$62,0),MATCH(Perf!AR$1,DB!$B$1:$AB$1,0))</f>
        <v>#REF!</v>
      </c>
      <c r="AS15" s="149" t="e">
        <f>INDEX(DB!$B$2:$AB$62,MATCH(Perf!$AL15,DB!$A$2:$A$62,0),MATCH(Perf!AS$1,DB!$B$1:$AB$1,0))</f>
        <v>#REF!</v>
      </c>
      <c r="AT15" s="149" t="e">
        <f>INDEX(DB!$B$2:$AB$62,MATCH(Perf!$AL15,DB!$A$2:$A$62,0),MATCH(Perf!AT$1,DB!$B$1:$AB$1,0))</f>
        <v>#REF!</v>
      </c>
      <c r="AU15" s="150" t="e">
        <f t="shared" si="3"/>
        <v>#REF!</v>
      </c>
      <c r="AV15" s="150" t="e">
        <f t="shared" si="4"/>
        <v>#REF!</v>
      </c>
      <c r="AW15" s="154" t="e">
        <f t="shared" si="4"/>
        <v>#REF!</v>
      </c>
      <c r="AX15" s="149" t="e">
        <f>INDEX(DB!$B$2:$AB$62,MATCH(Perf!$AL15,DB!$A$2:$A$62,0),MATCH(Perf!AX$1,DB!$B$1:$AB$1,0))</f>
        <v>#REF!</v>
      </c>
      <c r="AY15" s="150" t="e">
        <f t="shared" si="5"/>
        <v>#REF!</v>
      </c>
      <c r="AZ15" s="149" t="e">
        <f>INDEX(DB!$B$2:$AB$62,MATCH(Perf!$AL15,DB!$A$2:$A$62,0),MATCH(Perf!AZ$1,DB!$B$1:$AB$1,0))</f>
        <v>#REF!</v>
      </c>
      <c r="BA15" s="149" t="e">
        <f>INDEX(DB!$B$2:$AB$62,MATCH(Perf!$AL15,DB!$A$2:$A$62,0),MATCH(Perf!BA$1,DB!$B$1:$AB$1,0))</f>
        <v>#REF!</v>
      </c>
      <c r="BB15" s="149" t="e">
        <f>INDEX(DB!$B$2:$AB$62,MATCH(Perf!$AL15,DB!$A$2:$A$62,0),MATCH(Perf!BB$1,DB!$B$1:$AB$1,0))</f>
        <v>#REF!</v>
      </c>
      <c r="BC15" s="149" t="e">
        <f>INDEX(DB!$B$2:$AB$62,MATCH(Perf!$AL15,DB!$A$2:$A$62,0),MATCH(Perf!BC$1,DB!$B$1:$AB$1,0))</f>
        <v>#REF!</v>
      </c>
      <c r="BD15" s="149" t="e">
        <f>INDEX(DB!$B$2:$AB$62,MATCH(Perf!$AL15,DB!$A$2:$A$62,0),MATCH(Perf!BD$1,DB!$B$1:$AB$1,0))</f>
        <v>#REF!</v>
      </c>
      <c r="BE15" s="149" t="e">
        <f>INDEX(DB!$B$2:$AB$62,MATCH(Perf!$AL15,DB!$A$2:$A$62,0),MATCH(Perf!BE$1,DB!$B$1:$AB$1,0))</f>
        <v>#REF!</v>
      </c>
      <c r="BF15" s="149" t="e">
        <f>INDEX(DB!$B$2:$AB$62,MATCH(Perf!$AL15,DB!$A$2:$A$62,0),MATCH(Perf!BF$1,DB!$B$1:$AB$1,0))</f>
        <v>#REF!</v>
      </c>
      <c r="BG15" s="149" t="e">
        <f>INDEX(DB!$B$2:$AB$62,MATCH(Perf!$AL15,DB!$A$2:$A$62,0),MATCH(Perf!BG$1,DB!$B$1:$AB$1,0))</f>
        <v>#REF!</v>
      </c>
      <c r="BH15" s="149" t="e">
        <f>INDEX(DB!$B$2:$AB$62,MATCH(Perf!$AL15,DB!$A$2:$A$62,0),MATCH(Perf!BH$1,DB!$B$1:$AB$1,0))</f>
        <v>#REF!</v>
      </c>
      <c r="BI15" s="149" t="e">
        <f>INDEX(DB!$B$2:$AB$62,MATCH(Perf!$AL15,DB!$A$2:$A$62,0),MATCH(Perf!BI$1,DB!$B$1:$AB$1,0))</f>
        <v>#REF!</v>
      </c>
      <c r="BJ15" s="149" t="e">
        <f t="shared" si="18"/>
        <v>#REF!</v>
      </c>
      <c r="BK15" s="149" t="e">
        <f>INDEX(DB!$B$2:$AB$62,MATCH(Perf!$AL15,DB!$A$2:$A$62,0),MATCH(Perf!BK$1,DB!$B$1:$AB$1,0))</f>
        <v>#REF!</v>
      </c>
      <c r="BL15" s="150" t="e">
        <f t="shared" si="7"/>
        <v>#REF!</v>
      </c>
      <c r="BM15" s="149" t="e">
        <f>INDEX(DB!$B$2:$AB$62,MATCH(Perf!$AL15,DB!$A$2:$A$62,0),MATCH(Perf!BM$1,DB!$B$1:$AB$1,0))</f>
        <v>#REF!</v>
      </c>
    </row>
    <row r="16" spans="1:74" x14ac:dyDescent="0.15">
      <c r="A16" s="151">
        <f t="shared" si="8"/>
        <v>44530</v>
      </c>
      <c r="B16" s="148" t="e" cm="1">
        <f t="array" ref="B16">SUMPRODUCT(TRANSPOSE(#REF!),Perf!$AM16:$BN16)/100</f>
        <v>#REF!</v>
      </c>
      <c r="C16" s="148" t="e" cm="1">
        <f t="array" ref="C16">SUMPRODUCT(TRANSPOSE(#REF!),Perf!$AM16:$BN16)/100</f>
        <v>#REF!</v>
      </c>
      <c r="D16" s="148" t="e" cm="1">
        <f t="array" ref="D16">SUMPRODUCT(TRANSPOSE(#REF!),Perf!$AM16:$BN16)/100</f>
        <v>#REF!</v>
      </c>
      <c r="E16" s="148" t="e" cm="1">
        <f t="array" ref="E16">SUMPRODUCT(TRANSPOSE(#REF!),Perf!$AM16:$BN16)/100</f>
        <v>#REF!</v>
      </c>
      <c r="F16" s="148" t="e" cm="1">
        <f t="array" ref="F16">SUMPRODUCT(TRANSPOSE(#REF!),Perf!$AM16:$BN16)/100</f>
        <v>#REF!</v>
      </c>
      <c r="G16" s="148" t="e">
        <f t="shared" si="9"/>
        <v>#REF!</v>
      </c>
      <c r="H16" s="148"/>
      <c r="I16" s="160">
        <f t="shared" si="10"/>
        <v>44500</v>
      </c>
      <c r="J16" s="148" t="e">
        <f t="shared" si="19"/>
        <v>#REF!</v>
      </c>
      <c r="K16" s="148" t="e">
        <f t="shared" si="20"/>
        <v>#REF!</v>
      </c>
      <c r="L16" s="148" t="e">
        <f t="shared" si="21"/>
        <v>#REF!</v>
      </c>
      <c r="M16" s="148" t="e">
        <f t="shared" si="22"/>
        <v>#REF!</v>
      </c>
      <c r="N16" s="148" t="e">
        <f t="shared" si="23"/>
        <v>#REF!</v>
      </c>
      <c r="O16" s="148" t="e">
        <f t="shared" si="24"/>
        <v>#REF!</v>
      </c>
      <c r="P16" s="148"/>
      <c r="Q16" s="160">
        <f t="shared" si="12"/>
        <v>44530</v>
      </c>
      <c r="R16" s="148" t="e">
        <f t="shared" si="13"/>
        <v>#REF!</v>
      </c>
      <c r="S16" s="148" t="e">
        <f t="shared" si="14"/>
        <v>#REF!</v>
      </c>
      <c r="T16" s="148" t="e">
        <f t="shared" si="15"/>
        <v>#REF!</v>
      </c>
      <c r="U16" s="148" t="e">
        <f t="shared" si="16"/>
        <v>#REF!</v>
      </c>
      <c r="V16" s="148" t="e">
        <f t="shared" si="17"/>
        <v>#REF!</v>
      </c>
      <c r="W16" s="148"/>
      <c r="X16" s="160"/>
      <c r="Y16" s="148"/>
      <c r="Z16" s="148"/>
      <c r="AA16" s="148"/>
      <c r="AB16" s="148"/>
      <c r="AC16" s="148"/>
      <c r="AD16" s="148"/>
      <c r="AE16" s="160">
        <f t="shared" si="26"/>
        <v>44530</v>
      </c>
      <c r="AF16" s="170" t="e">
        <f t="shared" si="28"/>
        <v>#REF!</v>
      </c>
      <c r="AG16" s="170" t="e">
        <f t="shared" si="29"/>
        <v>#REF!</v>
      </c>
      <c r="AH16" s="170" t="e">
        <f t="shared" si="30"/>
        <v>#REF!</v>
      </c>
      <c r="AI16" s="170" t="e">
        <f t="shared" si="31"/>
        <v>#REF!</v>
      </c>
      <c r="AJ16" s="170" t="e">
        <f t="shared" si="32"/>
        <v>#REF!</v>
      </c>
      <c r="AL16" s="151">
        <f>DB!A16</f>
        <v>44530</v>
      </c>
      <c r="AM16" s="149" t="e">
        <f>INDEX(DB!$B$2:$AB$62,MATCH(Perf!$AL16,DB!$A$2:$A$62,0),MATCH(Perf!AM$1,DB!$B$1:$AB$1,0))</f>
        <v>#REF!</v>
      </c>
      <c r="AN16" s="149" t="e">
        <f>INDEX(DB!$B$2:$AB$62,MATCH(Perf!$AL16,DB!$A$2:$A$62,0),MATCH(Perf!AN$1,DB!$B$1:$AB$1,0))</f>
        <v>#REF!</v>
      </c>
      <c r="AO16" s="149" t="e">
        <f>INDEX(DB!$B$2:$AB$62,MATCH(Perf!$AL16,DB!$A$2:$A$62,0),MATCH(Perf!AO$1,DB!$B$1:$AB$1,0))</f>
        <v>#REF!</v>
      </c>
      <c r="AP16" s="149" t="e">
        <f>INDEX(DB!$B$2:$AB$62,MATCH(Perf!$AL16,DB!$A$2:$A$62,0),MATCH(Perf!AP$1,DB!$B$1:$AB$1,0))</f>
        <v>#REF!</v>
      </c>
      <c r="AQ16" s="149" t="e">
        <f>INDEX(DB!$B$2:$AB$62,MATCH(Perf!$AL16,DB!$A$2:$A$62,0),MATCH(Perf!AQ$1,DB!$B$1:$AB$1,0))</f>
        <v>#REF!</v>
      </c>
      <c r="AR16" s="149" t="e">
        <f>INDEX(DB!$B$2:$AB$62,MATCH(Perf!$AL16,DB!$A$2:$A$62,0),MATCH(Perf!AR$1,DB!$B$1:$AB$1,0))</f>
        <v>#REF!</v>
      </c>
      <c r="AS16" s="149" t="e">
        <f>INDEX(DB!$B$2:$AB$62,MATCH(Perf!$AL16,DB!$A$2:$A$62,0),MATCH(Perf!AS$1,DB!$B$1:$AB$1,0))</f>
        <v>#REF!</v>
      </c>
      <c r="AT16" s="149" t="e">
        <f>INDEX(DB!$B$2:$AB$62,MATCH(Perf!$AL16,DB!$A$2:$A$62,0),MATCH(Perf!AT$1,DB!$B$1:$AB$1,0))</f>
        <v>#REF!</v>
      </c>
      <c r="AU16" s="150" t="e">
        <f t="shared" si="3"/>
        <v>#REF!</v>
      </c>
      <c r="AV16" s="150" t="e">
        <f t="shared" si="4"/>
        <v>#REF!</v>
      </c>
      <c r="AW16" s="154" t="e">
        <f t="shared" si="4"/>
        <v>#REF!</v>
      </c>
      <c r="AX16" s="149" t="e">
        <f>INDEX(DB!$B$2:$AB$62,MATCH(Perf!$AL16,DB!$A$2:$A$62,0),MATCH(Perf!AX$1,DB!$B$1:$AB$1,0))</f>
        <v>#REF!</v>
      </c>
      <c r="AY16" s="150" t="e">
        <f t="shared" si="5"/>
        <v>#REF!</v>
      </c>
      <c r="AZ16" s="149" t="e">
        <f>INDEX(DB!$B$2:$AB$62,MATCH(Perf!$AL16,DB!$A$2:$A$62,0),MATCH(Perf!AZ$1,DB!$B$1:$AB$1,0))</f>
        <v>#REF!</v>
      </c>
      <c r="BA16" s="149" t="e">
        <f>INDEX(DB!$B$2:$AB$62,MATCH(Perf!$AL16,DB!$A$2:$A$62,0),MATCH(Perf!BA$1,DB!$B$1:$AB$1,0))</f>
        <v>#REF!</v>
      </c>
      <c r="BB16" s="149" t="e">
        <f>INDEX(DB!$B$2:$AB$62,MATCH(Perf!$AL16,DB!$A$2:$A$62,0),MATCH(Perf!BB$1,DB!$B$1:$AB$1,0))</f>
        <v>#REF!</v>
      </c>
      <c r="BC16" s="149" t="e">
        <f>INDEX(DB!$B$2:$AB$62,MATCH(Perf!$AL16,DB!$A$2:$A$62,0),MATCH(Perf!BC$1,DB!$B$1:$AB$1,0))</f>
        <v>#REF!</v>
      </c>
      <c r="BD16" s="149" t="e">
        <f>INDEX(DB!$B$2:$AB$62,MATCH(Perf!$AL16,DB!$A$2:$A$62,0),MATCH(Perf!BD$1,DB!$B$1:$AB$1,0))</f>
        <v>#REF!</v>
      </c>
      <c r="BE16" s="149" t="e">
        <f>INDEX(DB!$B$2:$AB$62,MATCH(Perf!$AL16,DB!$A$2:$A$62,0),MATCH(Perf!BE$1,DB!$B$1:$AB$1,0))</f>
        <v>#REF!</v>
      </c>
      <c r="BF16" s="149" t="e">
        <f>INDEX(DB!$B$2:$AB$62,MATCH(Perf!$AL16,DB!$A$2:$A$62,0),MATCH(Perf!BF$1,DB!$B$1:$AB$1,0))</f>
        <v>#REF!</v>
      </c>
      <c r="BG16" s="149" t="e">
        <f>INDEX(DB!$B$2:$AB$62,MATCH(Perf!$AL16,DB!$A$2:$A$62,0),MATCH(Perf!BG$1,DB!$B$1:$AB$1,0))</f>
        <v>#REF!</v>
      </c>
      <c r="BH16" s="149" t="e">
        <f>INDEX(DB!$B$2:$AB$62,MATCH(Perf!$AL16,DB!$A$2:$A$62,0),MATCH(Perf!BH$1,DB!$B$1:$AB$1,0))</f>
        <v>#REF!</v>
      </c>
      <c r="BI16" s="149" t="e">
        <f>INDEX(DB!$B$2:$AB$62,MATCH(Perf!$AL16,DB!$A$2:$A$62,0),MATCH(Perf!BI$1,DB!$B$1:$AB$1,0))</f>
        <v>#REF!</v>
      </c>
      <c r="BJ16" s="149" t="e">
        <f t="shared" si="18"/>
        <v>#REF!</v>
      </c>
      <c r="BK16" s="149" t="e">
        <f>INDEX(DB!$B$2:$AB$62,MATCH(Perf!$AL16,DB!$A$2:$A$62,0),MATCH(Perf!BK$1,DB!$B$1:$AB$1,0))</f>
        <v>#REF!</v>
      </c>
      <c r="BL16" s="150" t="e">
        <f t="shared" si="7"/>
        <v>#REF!</v>
      </c>
      <c r="BM16" s="149" t="e">
        <f>INDEX(DB!$B$2:$AB$62,MATCH(Perf!$AL16,DB!$A$2:$A$62,0),MATCH(Perf!BM$1,DB!$B$1:$AB$1,0))</f>
        <v>#REF!</v>
      </c>
    </row>
    <row r="17" spans="1:65" x14ac:dyDescent="0.15">
      <c r="A17" s="151">
        <f t="shared" si="8"/>
        <v>44561</v>
      </c>
      <c r="B17" s="148" t="e" cm="1">
        <f t="array" ref="B17">SUMPRODUCT(TRANSPOSE(#REF!),Perf!$AM17:$BN17)/100</f>
        <v>#REF!</v>
      </c>
      <c r="C17" s="148" t="e" cm="1">
        <f t="array" ref="C17">SUMPRODUCT(TRANSPOSE(#REF!),Perf!$AM17:$BN17)/100</f>
        <v>#REF!</v>
      </c>
      <c r="D17" s="148" t="e" cm="1">
        <f t="array" ref="D17">SUMPRODUCT(TRANSPOSE(#REF!),Perf!$AM17:$BN17)/100</f>
        <v>#REF!</v>
      </c>
      <c r="E17" s="148" t="e" cm="1">
        <f t="array" ref="E17">SUMPRODUCT(TRANSPOSE(#REF!),Perf!$AM17:$BN17)/100</f>
        <v>#REF!</v>
      </c>
      <c r="F17" s="148" t="e" cm="1">
        <f t="array" ref="F17">SUMPRODUCT(TRANSPOSE(#REF!),Perf!$AM17:$BN17)/100</f>
        <v>#REF!</v>
      </c>
      <c r="G17" s="148" t="e">
        <f t="shared" si="9"/>
        <v>#REF!</v>
      </c>
      <c r="H17" s="148"/>
      <c r="I17" s="160">
        <f t="shared" si="10"/>
        <v>44530</v>
      </c>
      <c r="J17" s="148" t="e">
        <f t="shared" si="19"/>
        <v>#REF!</v>
      </c>
      <c r="K17" s="148" t="e">
        <f t="shared" si="20"/>
        <v>#REF!</v>
      </c>
      <c r="L17" s="148" t="e">
        <f t="shared" si="21"/>
        <v>#REF!</v>
      </c>
      <c r="M17" s="148" t="e">
        <f t="shared" si="22"/>
        <v>#REF!</v>
      </c>
      <c r="N17" s="148" t="e">
        <f t="shared" si="23"/>
        <v>#REF!</v>
      </c>
      <c r="O17" s="148" t="e">
        <f t="shared" si="24"/>
        <v>#REF!</v>
      </c>
      <c r="P17" s="148"/>
      <c r="Q17" s="160">
        <f t="shared" si="12"/>
        <v>44561</v>
      </c>
      <c r="R17" s="148" t="e">
        <f t="shared" si="13"/>
        <v>#REF!</v>
      </c>
      <c r="S17" s="148" t="e">
        <f t="shared" si="14"/>
        <v>#REF!</v>
      </c>
      <c r="T17" s="148" t="e">
        <f t="shared" si="15"/>
        <v>#REF!</v>
      </c>
      <c r="U17" s="148" t="e">
        <f t="shared" si="16"/>
        <v>#REF!</v>
      </c>
      <c r="V17" s="148" t="e">
        <f t="shared" si="17"/>
        <v>#REF!</v>
      </c>
      <c r="W17" s="148"/>
      <c r="X17" s="160"/>
      <c r="Y17" s="148"/>
      <c r="Z17" s="148"/>
      <c r="AA17" s="148"/>
      <c r="AB17" s="148"/>
      <c r="AC17" s="148"/>
      <c r="AD17" s="148"/>
      <c r="AE17" s="160">
        <f t="shared" si="26"/>
        <v>44561</v>
      </c>
      <c r="AF17" s="170" t="e">
        <f t="shared" si="28"/>
        <v>#REF!</v>
      </c>
      <c r="AG17" s="170" t="e">
        <f t="shared" si="29"/>
        <v>#REF!</v>
      </c>
      <c r="AH17" s="170" t="e">
        <f t="shared" si="30"/>
        <v>#REF!</v>
      </c>
      <c r="AI17" s="170" t="e">
        <f t="shared" si="31"/>
        <v>#REF!</v>
      </c>
      <c r="AJ17" s="170" t="e">
        <f t="shared" si="32"/>
        <v>#REF!</v>
      </c>
      <c r="AL17" s="151">
        <f>DB!A17</f>
        <v>44561</v>
      </c>
      <c r="AM17" s="149" t="e">
        <f>INDEX(DB!$B$2:$AB$62,MATCH(Perf!$AL17,DB!$A$2:$A$62,0),MATCH(Perf!AM$1,DB!$B$1:$AB$1,0))</f>
        <v>#REF!</v>
      </c>
      <c r="AN17" s="149" t="e">
        <f>INDEX(DB!$B$2:$AB$62,MATCH(Perf!$AL17,DB!$A$2:$A$62,0),MATCH(Perf!AN$1,DB!$B$1:$AB$1,0))</f>
        <v>#REF!</v>
      </c>
      <c r="AO17" s="149" t="e">
        <f>INDEX(DB!$B$2:$AB$62,MATCH(Perf!$AL17,DB!$A$2:$A$62,0),MATCH(Perf!AO$1,DB!$B$1:$AB$1,0))</f>
        <v>#REF!</v>
      </c>
      <c r="AP17" s="149" t="e">
        <f>INDEX(DB!$B$2:$AB$62,MATCH(Perf!$AL17,DB!$A$2:$A$62,0),MATCH(Perf!AP$1,DB!$B$1:$AB$1,0))</f>
        <v>#REF!</v>
      </c>
      <c r="AQ17" s="149" t="e">
        <f>INDEX(DB!$B$2:$AB$62,MATCH(Perf!$AL17,DB!$A$2:$A$62,0),MATCH(Perf!AQ$1,DB!$B$1:$AB$1,0))</f>
        <v>#REF!</v>
      </c>
      <c r="AR17" s="149" t="e">
        <f>INDEX(DB!$B$2:$AB$62,MATCH(Perf!$AL17,DB!$A$2:$A$62,0),MATCH(Perf!AR$1,DB!$B$1:$AB$1,0))</f>
        <v>#REF!</v>
      </c>
      <c r="AS17" s="149" t="e">
        <f>INDEX(DB!$B$2:$AB$62,MATCH(Perf!$AL17,DB!$A$2:$A$62,0),MATCH(Perf!AS$1,DB!$B$1:$AB$1,0))</f>
        <v>#REF!</v>
      </c>
      <c r="AT17" s="149" t="e">
        <f>INDEX(DB!$B$2:$AB$62,MATCH(Perf!$AL17,DB!$A$2:$A$62,0),MATCH(Perf!AT$1,DB!$B$1:$AB$1,0))</f>
        <v>#REF!</v>
      </c>
      <c r="AU17" s="150" t="e">
        <f t="shared" si="3"/>
        <v>#REF!</v>
      </c>
      <c r="AV17" s="150" t="e">
        <f t="shared" si="4"/>
        <v>#REF!</v>
      </c>
      <c r="AW17" s="154" t="e">
        <f t="shared" si="4"/>
        <v>#REF!</v>
      </c>
      <c r="AX17" s="149" t="e">
        <f>INDEX(DB!$B$2:$AB$62,MATCH(Perf!$AL17,DB!$A$2:$A$62,0),MATCH(Perf!AX$1,DB!$B$1:$AB$1,0))</f>
        <v>#REF!</v>
      </c>
      <c r="AY17" s="150" t="e">
        <f t="shared" si="5"/>
        <v>#REF!</v>
      </c>
      <c r="AZ17" s="149" t="e">
        <f>INDEX(DB!$B$2:$AB$62,MATCH(Perf!$AL17,DB!$A$2:$A$62,0),MATCH(Perf!AZ$1,DB!$B$1:$AB$1,0))</f>
        <v>#REF!</v>
      </c>
      <c r="BA17" s="149" t="e">
        <f>INDEX(DB!$B$2:$AB$62,MATCH(Perf!$AL17,DB!$A$2:$A$62,0),MATCH(Perf!BA$1,DB!$B$1:$AB$1,0))</f>
        <v>#REF!</v>
      </c>
      <c r="BB17" s="149" t="e">
        <f>INDEX(DB!$B$2:$AB$62,MATCH(Perf!$AL17,DB!$A$2:$A$62,0),MATCH(Perf!BB$1,DB!$B$1:$AB$1,0))</f>
        <v>#REF!</v>
      </c>
      <c r="BC17" s="149" t="e">
        <f>INDEX(DB!$B$2:$AB$62,MATCH(Perf!$AL17,DB!$A$2:$A$62,0),MATCH(Perf!BC$1,DB!$B$1:$AB$1,0))</f>
        <v>#REF!</v>
      </c>
      <c r="BD17" s="149" t="e">
        <f>INDEX(DB!$B$2:$AB$62,MATCH(Perf!$AL17,DB!$A$2:$A$62,0),MATCH(Perf!BD$1,DB!$B$1:$AB$1,0))</f>
        <v>#REF!</v>
      </c>
      <c r="BE17" s="149" t="e">
        <f>INDEX(DB!$B$2:$AB$62,MATCH(Perf!$AL17,DB!$A$2:$A$62,0),MATCH(Perf!BE$1,DB!$B$1:$AB$1,0))</f>
        <v>#REF!</v>
      </c>
      <c r="BF17" s="149" t="e">
        <f>INDEX(DB!$B$2:$AB$62,MATCH(Perf!$AL17,DB!$A$2:$A$62,0),MATCH(Perf!BF$1,DB!$B$1:$AB$1,0))</f>
        <v>#REF!</v>
      </c>
      <c r="BG17" s="149" t="e">
        <f>INDEX(DB!$B$2:$AB$62,MATCH(Perf!$AL17,DB!$A$2:$A$62,0),MATCH(Perf!BG$1,DB!$B$1:$AB$1,0))</f>
        <v>#REF!</v>
      </c>
      <c r="BH17" s="149" t="e">
        <f>INDEX(DB!$B$2:$AB$62,MATCH(Perf!$AL17,DB!$A$2:$A$62,0),MATCH(Perf!BH$1,DB!$B$1:$AB$1,0))</f>
        <v>#REF!</v>
      </c>
      <c r="BI17" s="149" t="e">
        <f>INDEX(DB!$B$2:$AB$62,MATCH(Perf!$AL17,DB!$A$2:$A$62,0),MATCH(Perf!BI$1,DB!$B$1:$AB$1,0))</f>
        <v>#REF!</v>
      </c>
      <c r="BJ17" s="149" t="e">
        <f t="shared" si="18"/>
        <v>#REF!</v>
      </c>
      <c r="BK17" s="149" t="e">
        <f>INDEX(DB!$B$2:$AB$62,MATCH(Perf!$AL17,DB!$A$2:$A$62,0),MATCH(Perf!BK$1,DB!$B$1:$AB$1,0))</f>
        <v>#REF!</v>
      </c>
      <c r="BL17" s="150" t="e">
        <f t="shared" si="7"/>
        <v>#REF!</v>
      </c>
      <c r="BM17" s="149" t="e">
        <f>INDEX(DB!$B$2:$AB$62,MATCH(Perf!$AL17,DB!$A$2:$A$62,0),MATCH(Perf!BM$1,DB!$B$1:$AB$1,0))</f>
        <v>#REF!</v>
      </c>
    </row>
    <row r="18" spans="1:65" x14ac:dyDescent="0.15">
      <c r="A18" s="151">
        <f t="shared" si="8"/>
        <v>44592</v>
      </c>
      <c r="B18" s="148" t="e" cm="1">
        <f t="array" ref="B18">SUMPRODUCT(TRANSPOSE(#REF!),Perf!$AM18:$BN18)/100</f>
        <v>#REF!</v>
      </c>
      <c r="C18" s="148" t="e" cm="1">
        <f t="array" ref="C18">SUMPRODUCT(TRANSPOSE(#REF!),Perf!$AM18:$BN18)/100</f>
        <v>#REF!</v>
      </c>
      <c r="D18" s="148" t="e" cm="1">
        <f t="array" ref="D18">SUMPRODUCT(TRANSPOSE(#REF!),Perf!$AM18:$BN18)/100</f>
        <v>#REF!</v>
      </c>
      <c r="E18" s="148" t="e" cm="1">
        <f t="array" ref="E18">SUMPRODUCT(TRANSPOSE(#REF!),Perf!$AM18:$BN18)/100</f>
        <v>#REF!</v>
      </c>
      <c r="F18" s="148" t="e" cm="1">
        <f t="array" ref="F18">SUMPRODUCT(TRANSPOSE(#REF!),Perf!$AM18:$BN18)/100</f>
        <v>#REF!</v>
      </c>
      <c r="G18" s="148" t="e">
        <f t="shared" si="9"/>
        <v>#REF!</v>
      </c>
      <c r="H18" s="148"/>
      <c r="I18" s="160">
        <f t="shared" si="10"/>
        <v>44561</v>
      </c>
      <c r="J18" s="148" t="e">
        <f t="shared" si="19"/>
        <v>#REF!</v>
      </c>
      <c r="K18" s="148" t="e">
        <f t="shared" si="20"/>
        <v>#REF!</v>
      </c>
      <c r="L18" s="148" t="e">
        <f t="shared" si="21"/>
        <v>#REF!</v>
      </c>
      <c r="M18" s="148" t="e">
        <f t="shared" si="22"/>
        <v>#REF!</v>
      </c>
      <c r="N18" s="148" t="e">
        <f t="shared" si="23"/>
        <v>#REF!</v>
      </c>
      <c r="O18" s="148" t="e">
        <f t="shared" si="24"/>
        <v>#REF!</v>
      </c>
      <c r="P18" s="148"/>
      <c r="Q18" s="160">
        <f t="shared" si="12"/>
        <v>44592</v>
      </c>
      <c r="R18" s="148" t="e">
        <f t="shared" si="13"/>
        <v>#REF!</v>
      </c>
      <c r="S18" s="148" t="e">
        <f t="shared" si="14"/>
        <v>#REF!</v>
      </c>
      <c r="T18" s="148" t="e">
        <f t="shared" si="15"/>
        <v>#REF!</v>
      </c>
      <c r="U18" s="148" t="e">
        <f t="shared" si="16"/>
        <v>#REF!</v>
      </c>
      <c r="V18" s="148" t="e">
        <f t="shared" si="17"/>
        <v>#REF!</v>
      </c>
      <c r="W18" s="148"/>
      <c r="X18" s="160"/>
      <c r="Y18" s="148"/>
      <c r="Z18" s="148"/>
      <c r="AA18" s="148"/>
      <c r="AB18" s="148"/>
      <c r="AC18" s="148"/>
      <c r="AD18" s="148"/>
      <c r="AE18" s="160">
        <f t="shared" si="26"/>
        <v>44592</v>
      </c>
      <c r="AF18" s="170" t="e">
        <f t="shared" si="28"/>
        <v>#REF!</v>
      </c>
      <c r="AG18" s="170" t="e">
        <f t="shared" si="29"/>
        <v>#REF!</v>
      </c>
      <c r="AH18" s="170" t="e">
        <f t="shared" si="30"/>
        <v>#REF!</v>
      </c>
      <c r="AI18" s="170" t="e">
        <f t="shared" si="31"/>
        <v>#REF!</v>
      </c>
      <c r="AJ18" s="170" t="e">
        <f t="shared" si="32"/>
        <v>#REF!</v>
      </c>
      <c r="AL18" s="151">
        <f>DB!A18</f>
        <v>44592</v>
      </c>
      <c r="AM18" s="149" t="e">
        <f>INDEX(DB!$B$2:$AB$62,MATCH(Perf!$AL18,DB!$A$2:$A$62,0),MATCH(Perf!AM$1,DB!$B$1:$AB$1,0))</f>
        <v>#REF!</v>
      </c>
      <c r="AN18" s="149" t="e">
        <f>INDEX(DB!$B$2:$AB$62,MATCH(Perf!$AL18,DB!$A$2:$A$62,0),MATCH(Perf!AN$1,DB!$B$1:$AB$1,0))</f>
        <v>#REF!</v>
      </c>
      <c r="AO18" s="149" t="e">
        <f>INDEX(DB!$B$2:$AB$62,MATCH(Perf!$AL18,DB!$A$2:$A$62,0),MATCH(Perf!AO$1,DB!$B$1:$AB$1,0))</f>
        <v>#REF!</v>
      </c>
      <c r="AP18" s="149" t="e">
        <f>INDEX(DB!$B$2:$AB$62,MATCH(Perf!$AL18,DB!$A$2:$A$62,0),MATCH(Perf!AP$1,DB!$B$1:$AB$1,0))</f>
        <v>#REF!</v>
      </c>
      <c r="AQ18" s="149" t="e">
        <f>INDEX(DB!$B$2:$AB$62,MATCH(Perf!$AL18,DB!$A$2:$A$62,0),MATCH(Perf!AQ$1,DB!$B$1:$AB$1,0))</f>
        <v>#REF!</v>
      </c>
      <c r="AR18" s="149" t="e">
        <f>INDEX(DB!$B$2:$AB$62,MATCH(Perf!$AL18,DB!$A$2:$A$62,0),MATCH(Perf!AR$1,DB!$B$1:$AB$1,0))</f>
        <v>#REF!</v>
      </c>
      <c r="AS18" s="149" t="e">
        <f>INDEX(DB!$B$2:$AB$62,MATCH(Perf!$AL18,DB!$A$2:$A$62,0),MATCH(Perf!AS$1,DB!$B$1:$AB$1,0))</f>
        <v>#REF!</v>
      </c>
      <c r="AT18" s="149" t="e">
        <f>INDEX(DB!$B$2:$AB$62,MATCH(Perf!$AL18,DB!$A$2:$A$62,0),MATCH(Perf!AT$1,DB!$B$1:$AB$1,0))</f>
        <v>#REF!</v>
      </c>
      <c r="AU18" s="150" t="e">
        <f t="shared" si="3"/>
        <v>#REF!</v>
      </c>
      <c r="AV18" s="150" t="e">
        <f t="shared" si="4"/>
        <v>#REF!</v>
      </c>
      <c r="AW18" s="154" t="e">
        <f t="shared" si="4"/>
        <v>#REF!</v>
      </c>
      <c r="AX18" s="149" t="e">
        <f>INDEX(DB!$B$2:$AB$62,MATCH(Perf!$AL18,DB!$A$2:$A$62,0),MATCH(Perf!AX$1,DB!$B$1:$AB$1,0))</f>
        <v>#REF!</v>
      </c>
      <c r="AY18" s="150" t="e">
        <f t="shared" si="5"/>
        <v>#REF!</v>
      </c>
      <c r="AZ18" s="149" t="e">
        <f>INDEX(DB!$B$2:$AB$62,MATCH(Perf!$AL18,DB!$A$2:$A$62,0),MATCH(Perf!AZ$1,DB!$B$1:$AB$1,0))</f>
        <v>#REF!</v>
      </c>
      <c r="BA18" s="149" t="e">
        <f>INDEX(DB!$B$2:$AB$62,MATCH(Perf!$AL18,DB!$A$2:$A$62,0),MATCH(Perf!BA$1,DB!$B$1:$AB$1,0))</f>
        <v>#REF!</v>
      </c>
      <c r="BB18" s="149" t="e">
        <f>INDEX(DB!$B$2:$AB$62,MATCH(Perf!$AL18,DB!$A$2:$A$62,0),MATCH(Perf!BB$1,DB!$B$1:$AB$1,0))</f>
        <v>#REF!</v>
      </c>
      <c r="BC18" s="149" t="e">
        <f>INDEX(DB!$B$2:$AB$62,MATCH(Perf!$AL18,DB!$A$2:$A$62,0),MATCH(Perf!BC$1,DB!$B$1:$AB$1,0))</f>
        <v>#REF!</v>
      </c>
      <c r="BD18" s="149" t="e">
        <f>INDEX(DB!$B$2:$AB$62,MATCH(Perf!$AL18,DB!$A$2:$A$62,0),MATCH(Perf!BD$1,DB!$B$1:$AB$1,0))</f>
        <v>#REF!</v>
      </c>
      <c r="BE18" s="149" t="e">
        <f>INDEX(DB!$B$2:$AB$62,MATCH(Perf!$AL18,DB!$A$2:$A$62,0),MATCH(Perf!BE$1,DB!$B$1:$AB$1,0))</f>
        <v>#REF!</v>
      </c>
      <c r="BF18" s="149" t="e">
        <f>INDEX(DB!$B$2:$AB$62,MATCH(Perf!$AL18,DB!$A$2:$A$62,0),MATCH(Perf!BF$1,DB!$B$1:$AB$1,0))</f>
        <v>#REF!</v>
      </c>
      <c r="BG18" s="149" t="e">
        <f>INDEX(DB!$B$2:$AB$62,MATCH(Perf!$AL18,DB!$A$2:$A$62,0),MATCH(Perf!BG$1,DB!$B$1:$AB$1,0))</f>
        <v>#REF!</v>
      </c>
      <c r="BH18" s="149" t="e">
        <f>INDEX(DB!$B$2:$AB$62,MATCH(Perf!$AL18,DB!$A$2:$A$62,0),MATCH(Perf!BH$1,DB!$B$1:$AB$1,0))</f>
        <v>#REF!</v>
      </c>
      <c r="BI18" s="149" t="e">
        <f>INDEX(DB!$B$2:$AB$62,MATCH(Perf!$AL18,DB!$A$2:$A$62,0),MATCH(Perf!BI$1,DB!$B$1:$AB$1,0))</f>
        <v>#REF!</v>
      </c>
      <c r="BJ18" s="149" t="e">
        <f t="shared" si="18"/>
        <v>#REF!</v>
      </c>
      <c r="BK18" s="149" t="e">
        <f>INDEX(DB!$B$2:$AB$62,MATCH(Perf!$AL18,DB!$A$2:$A$62,0),MATCH(Perf!BK$1,DB!$B$1:$AB$1,0))</f>
        <v>#REF!</v>
      </c>
      <c r="BL18" s="150" t="e">
        <f t="shared" si="7"/>
        <v>#REF!</v>
      </c>
      <c r="BM18" s="149" t="e">
        <f>INDEX(DB!$B$2:$AB$62,MATCH(Perf!$AL18,DB!$A$2:$A$62,0),MATCH(Perf!BM$1,DB!$B$1:$AB$1,0))</f>
        <v>#REF!</v>
      </c>
    </row>
    <row r="19" spans="1:65" x14ac:dyDescent="0.15">
      <c r="A19" s="151">
        <f t="shared" si="8"/>
        <v>44620</v>
      </c>
      <c r="B19" s="148" t="e" cm="1">
        <f t="array" ref="B19">SUMPRODUCT(TRANSPOSE(#REF!),Perf!$AM19:$BN19)/100</f>
        <v>#REF!</v>
      </c>
      <c r="C19" s="148" t="e" cm="1">
        <f t="array" ref="C19">SUMPRODUCT(TRANSPOSE(#REF!),Perf!$AM19:$BN19)/100</f>
        <v>#REF!</v>
      </c>
      <c r="D19" s="148" t="e" cm="1">
        <f t="array" ref="D19">SUMPRODUCT(TRANSPOSE(#REF!),Perf!$AM19:$BN19)/100</f>
        <v>#REF!</v>
      </c>
      <c r="E19" s="148" t="e" cm="1">
        <f t="array" ref="E19">SUMPRODUCT(TRANSPOSE(#REF!),Perf!$AM19:$BN19)/100</f>
        <v>#REF!</v>
      </c>
      <c r="F19" s="148" t="e" cm="1">
        <f t="array" ref="F19">SUMPRODUCT(TRANSPOSE(#REF!),Perf!$AM19:$BN19)/100</f>
        <v>#REF!</v>
      </c>
      <c r="G19" s="148" t="e">
        <f t="shared" si="9"/>
        <v>#REF!</v>
      </c>
      <c r="H19" s="148"/>
      <c r="I19" s="160">
        <f t="shared" si="10"/>
        <v>44592</v>
      </c>
      <c r="J19" s="148" t="e">
        <f t="shared" si="19"/>
        <v>#REF!</v>
      </c>
      <c r="K19" s="148" t="e">
        <f t="shared" si="20"/>
        <v>#REF!</v>
      </c>
      <c r="L19" s="148" t="e">
        <f t="shared" si="21"/>
        <v>#REF!</v>
      </c>
      <c r="M19" s="148" t="e">
        <f t="shared" si="22"/>
        <v>#REF!</v>
      </c>
      <c r="N19" s="148" t="e">
        <f t="shared" si="23"/>
        <v>#REF!</v>
      </c>
      <c r="O19" s="148" t="e">
        <f t="shared" si="24"/>
        <v>#REF!</v>
      </c>
      <c r="P19" s="148"/>
      <c r="Q19" s="160">
        <f t="shared" si="12"/>
        <v>44620</v>
      </c>
      <c r="R19" s="148" t="e">
        <f t="shared" si="13"/>
        <v>#REF!</v>
      </c>
      <c r="S19" s="148" t="e">
        <f t="shared" si="14"/>
        <v>#REF!</v>
      </c>
      <c r="T19" s="148" t="e">
        <f t="shared" si="15"/>
        <v>#REF!</v>
      </c>
      <c r="U19" s="148" t="e">
        <f t="shared" si="16"/>
        <v>#REF!</v>
      </c>
      <c r="V19" s="148" t="e">
        <f t="shared" si="17"/>
        <v>#REF!</v>
      </c>
      <c r="W19" s="148"/>
      <c r="X19" s="160"/>
      <c r="Y19" s="148"/>
      <c r="Z19" s="148"/>
      <c r="AA19" s="148"/>
      <c r="AB19" s="148"/>
      <c r="AC19" s="148"/>
      <c r="AD19" s="148"/>
      <c r="AE19" s="160">
        <f t="shared" si="26"/>
        <v>44620</v>
      </c>
      <c r="AF19" s="170" t="e">
        <f t="shared" si="28"/>
        <v>#REF!</v>
      </c>
      <c r="AG19" s="170" t="e">
        <f t="shared" si="29"/>
        <v>#REF!</v>
      </c>
      <c r="AH19" s="170" t="e">
        <f t="shared" si="30"/>
        <v>#REF!</v>
      </c>
      <c r="AI19" s="170" t="e">
        <f t="shared" si="31"/>
        <v>#REF!</v>
      </c>
      <c r="AJ19" s="170" t="e">
        <f t="shared" si="32"/>
        <v>#REF!</v>
      </c>
      <c r="AL19" s="151">
        <f>DB!A19</f>
        <v>44620</v>
      </c>
      <c r="AM19" s="149" t="e">
        <f>INDEX(DB!$B$2:$AB$62,MATCH(Perf!$AL19,DB!$A$2:$A$62,0),MATCH(Perf!AM$1,DB!$B$1:$AB$1,0))</f>
        <v>#REF!</v>
      </c>
      <c r="AN19" s="149" t="e">
        <f>INDEX(DB!$B$2:$AB$62,MATCH(Perf!$AL19,DB!$A$2:$A$62,0),MATCH(Perf!AN$1,DB!$B$1:$AB$1,0))</f>
        <v>#REF!</v>
      </c>
      <c r="AO19" s="149" t="e">
        <f>INDEX(DB!$B$2:$AB$62,MATCH(Perf!$AL19,DB!$A$2:$A$62,0),MATCH(Perf!AO$1,DB!$B$1:$AB$1,0))</f>
        <v>#REF!</v>
      </c>
      <c r="AP19" s="149" t="e">
        <f>INDEX(DB!$B$2:$AB$62,MATCH(Perf!$AL19,DB!$A$2:$A$62,0),MATCH(Perf!AP$1,DB!$B$1:$AB$1,0))</f>
        <v>#REF!</v>
      </c>
      <c r="AQ19" s="149" t="e">
        <f>INDEX(DB!$B$2:$AB$62,MATCH(Perf!$AL19,DB!$A$2:$A$62,0),MATCH(Perf!AQ$1,DB!$B$1:$AB$1,0))</f>
        <v>#REF!</v>
      </c>
      <c r="AR19" s="149" t="e">
        <f>INDEX(DB!$B$2:$AB$62,MATCH(Perf!$AL19,DB!$A$2:$A$62,0),MATCH(Perf!AR$1,DB!$B$1:$AB$1,0))</f>
        <v>#REF!</v>
      </c>
      <c r="AS19" s="149" t="e">
        <f>INDEX(DB!$B$2:$AB$62,MATCH(Perf!$AL19,DB!$A$2:$A$62,0),MATCH(Perf!AS$1,DB!$B$1:$AB$1,0))</f>
        <v>#REF!</v>
      </c>
      <c r="AT19" s="149" t="e">
        <f>INDEX(DB!$B$2:$AB$62,MATCH(Perf!$AL19,DB!$A$2:$A$62,0),MATCH(Perf!AT$1,DB!$B$1:$AB$1,0))</f>
        <v>#REF!</v>
      </c>
      <c r="AU19" s="150" t="e">
        <f>AN19</f>
        <v>#REF!</v>
      </c>
      <c r="AV19" s="150" t="e">
        <f t="shared" si="4"/>
        <v>#REF!</v>
      </c>
      <c r="AW19" s="154" t="e">
        <f t="shared" si="4"/>
        <v>#REF!</v>
      </c>
      <c r="AX19" s="149" t="e">
        <f>INDEX(DB!$B$2:$AB$62,MATCH(Perf!$AL19,DB!$A$2:$A$62,0),MATCH(Perf!AX$1,DB!$B$1:$AB$1,0))</f>
        <v>#REF!</v>
      </c>
      <c r="AY19" s="150" t="e">
        <f t="shared" si="5"/>
        <v>#REF!</v>
      </c>
      <c r="AZ19" s="149" t="e">
        <f>INDEX(DB!$B$2:$AB$62,MATCH(Perf!$AL19,DB!$A$2:$A$62,0),MATCH(Perf!AZ$1,DB!$B$1:$AB$1,0))</f>
        <v>#REF!</v>
      </c>
      <c r="BA19" s="149" t="e">
        <f>INDEX(DB!$B$2:$AB$62,MATCH(Perf!$AL19,DB!$A$2:$A$62,0),MATCH(Perf!BA$1,DB!$B$1:$AB$1,0))</f>
        <v>#REF!</v>
      </c>
      <c r="BB19" s="149" t="e">
        <f>INDEX(DB!$B$2:$AB$62,MATCH(Perf!$AL19,DB!$A$2:$A$62,0),MATCH(Perf!BB$1,DB!$B$1:$AB$1,0))</f>
        <v>#REF!</v>
      </c>
      <c r="BC19" s="149" t="e">
        <f>INDEX(DB!$B$2:$AB$62,MATCH(Perf!$AL19,DB!$A$2:$A$62,0),MATCH(Perf!BC$1,DB!$B$1:$AB$1,0))</f>
        <v>#REF!</v>
      </c>
      <c r="BD19" s="149" t="e">
        <f>INDEX(DB!$B$2:$AB$62,MATCH(Perf!$AL19,DB!$A$2:$A$62,0),MATCH(Perf!BD$1,DB!$B$1:$AB$1,0))</f>
        <v>#REF!</v>
      </c>
      <c r="BE19" s="149" t="e">
        <f>INDEX(DB!$B$2:$AB$62,MATCH(Perf!$AL19,DB!$A$2:$A$62,0),MATCH(Perf!BE$1,DB!$B$1:$AB$1,0))</f>
        <v>#REF!</v>
      </c>
      <c r="BF19" s="149" t="e">
        <f>INDEX(DB!$B$2:$AB$62,MATCH(Perf!$AL19,DB!$A$2:$A$62,0),MATCH(Perf!BF$1,DB!$B$1:$AB$1,0))</f>
        <v>#REF!</v>
      </c>
      <c r="BG19" s="149" t="e">
        <f>INDEX(DB!$B$2:$AB$62,MATCH(Perf!$AL19,DB!$A$2:$A$62,0),MATCH(Perf!BG$1,DB!$B$1:$AB$1,0))</f>
        <v>#REF!</v>
      </c>
      <c r="BH19" s="149" t="e">
        <f>INDEX(DB!$B$2:$AB$62,MATCH(Perf!$AL19,DB!$A$2:$A$62,0),MATCH(Perf!BH$1,DB!$B$1:$AB$1,0))</f>
        <v>#REF!</v>
      </c>
      <c r="BI19" s="149" t="e">
        <f>INDEX(DB!$B$2:$AB$62,MATCH(Perf!$AL19,DB!$A$2:$A$62,0),MATCH(Perf!BI$1,DB!$B$1:$AB$1,0))</f>
        <v>#REF!</v>
      </c>
      <c r="BJ19" s="149" t="e">
        <f t="shared" si="18"/>
        <v>#REF!</v>
      </c>
      <c r="BK19" s="149" t="e">
        <f>INDEX(DB!$B$2:$AB$62,MATCH(Perf!$AL19,DB!$A$2:$A$62,0),MATCH(Perf!BK$1,DB!$B$1:$AB$1,0))</f>
        <v>#REF!</v>
      </c>
      <c r="BL19" s="150" t="e">
        <f t="shared" si="7"/>
        <v>#REF!</v>
      </c>
      <c r="BM19" s="149" t="e">
        <f>INDEX(DB!$B$2:$AB$62,MATCH(Perf!$AL19,DB!$A$2:$A$62,0),MATCH(Perf!BM$1,DB!$B$1:$AB$1,0))</f>
        <v>#REF!</v>
      </c>
    </row>
    <row r="20" spans="1:65" x14ac:dyDescent="0.15">
      <c r="A20" s="151">
        <f t="shared" si="8"/>
        <v>44651</v>
      </c>
      <c r="B20" s="148" t="e" cm="1">
        <f t="array" ref="B20">SUMPRODUCT(TRANSPOSE(#REF!),Perf!$AM20:$BN20)/100</f>
        <v>#REF!</v>
      </c>
      <c r="C20" s="148" t="e" cm="1">
        <f t="array" ref="C20">SUMPRODUCT(TRANSPOSE(#REF!),Perf!$AM20:$BN20)/100</f>
        <v>#REF!</v>
      </c>
      <c r="D20" s="148" t="e" cm="1">
        <f t="array" ref="D20">SUMPRODUCT(TRANSPOSE(#REF!),Perf!$AM20:$BN20)/100</f>
        <v>#REF!</v>
      </c>
      <c r="E20" s="148" t="e" cm="1">
        <f t="array" ref="E20">SUMPRODUCT(TRANSPOSE(#REF!),Perf!$AM20:$BN20)/100</f>
        <v>#REF!</v>
      </c>
      <c r="F20" s="148" t="e" cm="1">
        <f t="array" ref="F20">SUMPRODUCT(TRANSPOSE(#REF!),Perf!$AM20:$BN20)/100</f>
        <v>#REF!</v>
      </c>
      <c r="G20" s="148" t="e">
        <f t="shared" si="9"/>
        <v>#REF!</v>
      </c>
      <c r="H20" s="148"/>
      <c r="I20" s="160">
        <f t="shared" si="10"/>
        <v>44620</v>
      </c>
      <c r="J20" s="148" t="e">
        <f t="shared" si="19"/>
        <v>#REF!</v>
      </c>
      <c r="K20" s="148" t="e">
        <f t="shared" si="20"/>
        <v>#REF!</v>
      </c>
      <c r="L20" s="148" t="e">
        <f t="shared" si="21"/>
        <v>#REF!</v>
      </c>
      <c r="M20" s="148" t="e">
        <f t="shared" si="22"/>
        <v>#REF!</v>
      </c>
      <c r="N20" s="148" t="e">
        <f t="shared" si="23"/>
        <v>#REF!</v>
      </c>
      <c r="O20" s="148" t="e">
        <f t="shared" si="24"/>
        <v>#REF!</v>
      </c>
      <c r="P20" s="148"/>
      <c r="Q20" s="160">
        <f t="shared" si="12"/>
        <v>44651</v>
      </c>
      <c r="R20" s="148" t="e">
        <f t="shared" si="13"/>
        <v>#REF!</v>
      </c>
      <c r="S20" s="148" t="e">
        <f t="shared" si="14"/>
        <v>#REF!</v>
      </c>
      <c r="T20" s="148" t="e">
        <f t="shared" si="15"/>
        <v>#REF!</v>
      </c>
      <c r="U20" s="148" t="e">
        <f t="shared" si="16"/>
        <v>#REF!</v>
      </c>
      <c r="V20" s="148" t="e">
        <f t="shared" si="17"/>
        <v>#REF!</v>
      </c>
      <c r="W20" s="148"/>
      <c r="X20" s="160"/>
      <c r="Y20" s="148"/>
      <c r="Z20" s="148"/>
      <c r="AA20" s="148"/>
      <c r="AB20" s="148"/>
      <c r="AC20" s="148"/>
      <c r="AD20" s="148"/>
      <c r="AE20" s="160">
        <f t="shared" si="26"/>
        <v>44651</v>
      </c>
      <c r="AF20" s="170" t="e">
        <f t="shared" si="28"/>
        <v>#REF!</v>
      </c>
      <c r="AG20" s="170" t="e">
        <f t="shared" si="29"/>
        <v>#REF!</v>
      </c>
      <c r="AH20" s="170" t="e">
        <f t="shared" si="30"/>
        <v>#REF!</v>
      </c>
      <c r="AI20" s="170" t="e">
        <f t="shared" si="31"/>
        <v>#REF!</v>
      </c>
      <c r="AJ20" s="170" t="e">
        <f t="shared" si="32"/>
        <v>#REF!</v>
      </c>
      <c r="AL20" s="151">
        <f>DB!A20</f>
        <v>44651</v>
      </c>
      <c r="AM20" s="149" t="e">
        <f>INDEX(DB!$B$2:$AB$62,MATCH(Perf!$AL20,DB!$A$2:$A$62,0),MATCH(Perf!AM$1,DB!$B$1:$AB$1,0))</f>
        <v>#REF!</v>
      </c>
      <c r="AN20" s="149" t="e">
        <f>INDEX(DB!$B$2:$AB$62,MATCH(Perf!$AL20,DB!$A$2:$A$62,0),MATCH(Perf!AN$1,DB!$B$1:$AB$1,0))</f>
        <v>#REF!</v>
      </c>
      <c r="AO20" s="149" t="e">
        <f>INDEX(DB!$B$2:$AB$62,MATCH(Perf!$AL20,DB!$A$2:$A$62,0),MATCH(Perf!AO$1,DB!$B$1:$AB$1,0))</f>
        <v>#REF!</v>
      </c>
      <c r="AP20" s="149" t="e">
        <f>INDEX(DB!$B$2:$AB$62,MATCH(Perf!$AL20,DB!$A$2:$A$62,0),MATCH(Perf!AP$1,DB!$B$1:$AB$1,0))</f>
        <v>#REF!</v>
      </c>
      <c r="AQ20" s="149" t="e">
        <f>INDEX(DB!$B$2:$AB$62,MATCH(Perf!$AL20,DB!$A$2:$A$62,0),MATCH(Perf!AQ$1,DB!$B$1:$AB$1,0))</f>
        <v>#REF!</v>
      </c>
      <c r="AR20" s="149" t="e">
        <f>INDEX(DB!$B$2:$AB$62,MATCH(Perf!$AL20,DB!$A$2:$A$62,0),MATCH(Perf!AR$1,DB!$B$1:$AB$1,0))</f>
        <v>#REF!</v>
      </c>
      <c r="AS20" s="149" t="e">
        <f>INDEX(DB!$B$2:$AB$62,MATCH(Perf!$AL20,DB!$A$2:$A$62,0),MATCH(Perf!AS$1,DB!$B$1:$AB$1,0))</f>
        <v>#REF!</v>
      </c>
      <c r="AT20" s="149" t="e">
        <f>INDEX(DB!$B$2:$AB$62,MATCH(Perf!$AL20,DB!$A$2:$A$62,0),MATCH(Perf!AT$1,DB!$B$1:$AB$1,0))</f>
        <v>#REF!</v>
      </c>
      <c r="AU20" s="149" t="e">
        <f>INDEX(DB!$B$2:$AB$62,MATCH(Perf!$AL20,DB!$A$2:$A$62,0),MATCH(Perf!AU$1,DB!$B$1:$AB$1,0))</f>
        <v>#REF!</v>
      </c>
      <c r="AV20" s="150" t="e">
        <f t="shared" si="4"/>
        <v>#REF!</v>
      </c>
      <c r="AW20" s="154" t="e">
        <f t="shared" si="4"/>
        <v>#REF!</v>
      </c>
      <c r="AX20" s="149" t="e">
        <f>INDEX(DB!$B$2:$AB$62,MATCH(Perf!$AL20,DB!$A$2:$A$62,0),MATCH(Perf!AX$1,DB!$B$1:$AB$1,0))</f>
        <v>#REF!</v>
      </c>
      <c r="AY20" s="150" t="e">
        <f>AM20</f>
        <v>#REF!</v>
      </c>
      <c r="AZ20" s="149" t="e">
        <f>INDEX(DB!$B$2:$AB$62,MATCH(Perf!$AL20,DB!$A$2:$A$62,0),MATCH(Perf!AZ$1,DB!$B$1:$AB$1,0))</f>
        <v>#REF!</v>
      </c>
      <c r="BA20" s="149" t="e">
        <f>INDEX(DB!$B$2:$AB$62,MATCH(Perf!$AL20,DB!$A$2:$A$62,0),MATCH(Perf!BA$1,DB!$B$1:$AB$1,0))</f>
        <v>#REF!</v>
      </c>
      <c r="BB20" s="149" t="e">
        <f>INDEX(DB!$B$2:$AB$62,MATCH(Perf!$AL20,DB!$A$2:$A$62,0),MATCH(Perf!BB$1,DB!$B$1:$AB$1,0))</f>
        <v>#REF!</v>
      </c>
      <c r="BC20" s="149" t="e">
        <f>INDEX(DB!$B$2:$AB$62,MATCH(Perf!$AL20,DB!$A$2:$A$62,0),MATCH(Perf!BC$1,DB!$B$1:$AB$1,0))</f>
        <v>#REF!</v>
      </c>
      <c r="BD20" s="149" t="e">
        <f>INDEX(DB!$B$2:$AB$62,MATCH(Perf!$AL20,DB!$A$2:$A$62,0),MATCH(Perf!BD$1,DB!$B$1:$AB$1,0))</f>
        <v>#REF!</v>
      </c>
      <c r="BE20" s="149" t="e">
        <f>INDEX(DB!$B$2:$AB$62,MATCH(Perf!$AL20,DB!$A$2:$A$62,0),MATCH(Perf!BE$1,DB!$B$1:$AB$1,0))</f>
        <v>#REF!</v>
      </c>
      <c r="BF20" s="149" t="e">
        <f>INDEX(DB!$B$2:$AB$62,MATCH(Perf!$AL20,DB!$A$2:$A$62,0),MATCH(Perf!BF$1,DB!$B$1:$AB$1,0))</f>
        <v>#REF!</v>
      </c>
      <c r="BG20" s="149" t="e">
        <f>INDEX(DB!$B$2:$AB$62,MATCH(Perf!$AL20,DB!$A$2:$A$62,0),MATCH(Perf!BG$1,DB!$B$1:$AB$1,0))</f>
        <v>#REF!</v>
      </c>
      <c r="BH20" s="149" t="e">
        <f>INDEX(DB!$B$2:$AB$62,MATCH(Perf!$AL20,DB!$A$2:$A$62,0),MATCH(Perf!BH$1,DB!$B$1:$AB$1,0))</f>
        <v>#REF!</v>
      </c>
      <c r="BI20" s="149" t="e">
        <f>INDEX(DB!$B$2:$AB$62,MATCH(Perf!$AL20,DB!$A$2:$A$62,0),MATCH(Perf!BI$1,DB!$B$1:$AB$1,0))</f>
        <v>#REF!</v>
      </c>
      <c r="BJ20" s="149" t="e">
        <f t="shared" si="18"/>
        <v>#REF!</v>
      </c>
      <c r="BK20" s="149" t="e">
        <f>INDEX(DB!$B$2:$AB$62,MATCH(Perf!$AL20,DB!$A$2:$A$62,0),MATCH(Perf!BK$1,DB!$B$1:$AB$1,0))</f>
        <v>#REF!</v>
      </c>
      <c r="BL20" s="150" t="e">
        <f t="shared" si="7"/>
        <v>#REF!</v>
      </c>
      <c r="BM20" s="149" t="e">
        <f>INDEX(DB!$B$2:$AB$62,MATCH(Perf!$AL20,DB!$A$2:$A$62,0),MATCH(Perf!BM$1,DB!$B$1:$AB$1,0))</f>
        <v>#REF!</v>
      </c>
    </row>
    <row r="21" spans="1:65" x14ac:dyDescent="0.15">
      <c r="A21" s="151">
        <f t="shared" si="8"/>
        <v>44681</v>
      </c>
      <c r="B21" s="148" t="e" cm="1">
        <f t="array" ref="B21">SUMPRODUCT(TRANSPOSE(#REF!),Perf!$AM21:$BN21)/100</f>
        <v>#REF!</v>
      </c>
      <c r="C21" s="148" t="e" cm="1">
        <f t="array" ref="C21">SUMPRODUCT(TRANSPOSE(#REF!),Perf!$AM21:$BN21)/100</f>
        <v>#REF!</v>
      </c>
      <c r="D21" s="148" t="e" cm="1">
        <f t="array" ref="D21">SUMPRODUCT(TRANSPOSE(#REF!),Perf!$AM21:$BN21)/100</f>
        <v>#REF!</v>
      </c>
      <c r="E21" s="148" t="e" cm="1">
        <f t="array" ref="E21">SUMPRODUCT(TRANSPOSE(#REF!),Perf!$AM21:$BN21)/100</f>
        <v>#REF!</v>
      </c>
      <c r="F21" s="148" t="e" cm="1">
        <f t="array" ref="F21">SUMPRODUCT(TRANSPOSE(#REF!),Perf!$AM21:$BN21)/100</f>
        <v>#REF!</v>
      </c>
      <c r="G21" s="148" t="e">
        <f t="shared" si="9"/>
        <v>#REF!</v>
      </c>
      <c r="H21" s="148"/>
      <c r="I21" s="160">
        <f t="shared" si="10"/>
        <v>44651</v>
      </c>
      <c r="J21" s="148" t="e">
        <f t="shared" si="19"/>
        <v>#REF!</v>
      </c>
      <c r="K21" s="148" t="e">
        <f t="shared" si="20"/>
        <v>#REF!</v>
      </c>
      <c r="L21" s="148" t="e">
        <f t="shared" si="21"/>
        <v>#REF!</v>
      </c>
      <c r="M21" s="148" t="e">
        <f t="shared" si="22"/>
        <v>#REF!</v>
      </c>
      <c r="N21" s="148" t="e">
        <f t="shared" si="23"/>
        <v>#REF!</v>
      </c>
      <c r="O21" s="148" t="e">
        <f t="shared" si="24"/>
        <v>#REF!</v>
      </c>
      <c r="P21" s="148"/>
      <c r="Q21" s="160">
        <f t="shared" si="12"/>
        <v>44681</v>
      </c>
      <c r="R21" s="148" t="e">
        <f t="shared" si="13"/>
        <v>#REF!</v>
      </c>
      <c r="S21" s="148" t="e">
        <f t="shared" si="14"/>
        <v>#REF!</v>
      </c>
      <c r="T21" s="148" t="e">
        <f t="shared" si="15"/>
        <v>#REF!</v>
      </c>
      <c r="U21" s="148" t="e">
        <f t="shared" si="16"/>
        <v>#REF!</v>
      </c>
      <c r="V21" s="148" t="e">
        <f t="shared" si="17"/>
        <v>#REF!</v>
      </c>
      <c r="W21" s="148"/>
      <c r="X21" s="160"/>
      <c r="Y21" s="148"/>
      <c r="Z21" s="148"/>
      <c r="AA21" s="148"/>
      <c r="AB21" s="148"/>
      <c r="AC21" s="148"/>
      <c r="AD21" s="148"/>
      <c r="AE21" s="160">
        <f t="shared" si="26"/>
        <v>44681</v>
      </c>
      <c r="AF21" s="170" t="e">
        <f t="shared" si="28"/>
        <v>#REF!</v>
      </c>
      <c r="AG21" s="170" t="e">
        <f t="shared" si="29"/>
        <v>#REF!</v>
      </c>
      <c r="AH21" s="170" t="e">
        <f t="shared" si="30"/>
        <v>#REF!</v>
      </c>
      <c r="AI21" s="170" t="e">
        <f t="shared" si="31"/>
        <v>#REF!</v>
      </c>
      <c r="AJ21" s="170" t="e">
        <f t="shared" si="32"/>
        <v>#REF!</v>
      </c>
      <c r="AL21" s="151">
        <f>DB!A21</f>
        <v>44681</v>
      </c>
      <c r="AM21" s="149" t="e">
        <f>INDEX(DB!$B$2:$AB$62,MATCH(Perf!$AL21,DB!$A$2:$A$62,0),MATCH(Perf!AM$1,DB!$B$1:$AB$1,0))</f>
        <v>#REF!</v>
      </c>
      <c r="AN21" s="149" t="e">
        <f>INDEX(DB!$B$2:$AB$62,MATCH(Perf!$AL21,DB!$A$2:$A$62,0),MATCH(Perf!AN$1,DB!$B$1:$AB$1,0))</f>
        <v>#REF!</v>
      </c>
      <c r="AO21" s="149" t="e">
        <f>INDEX(DB!$B$2:$AB$62,MATCH(Perf!$AL21,DB!$A$2:$A$62,0),MATCH(Perf!AO$1,DB!$B$1:$AB$1,0))</f>
        <v>#REF!</v>
      </c>
      <c r="AP21" s="149" t="e">
        <f>INDEX(DB!$B$2:$AB$62,MATCH(Perf!$AL21,DB!$A$2:$A$62,0),MATCH(Perf!AP$1,DB!$B$1:$AB$1,0))</f>
        <v>#REF!</v>
      </c>
      <c r="AQ21" s="149" t="e">
        <f>INDEX(DB!$B$2:$AB$62,MATCH(Perf!$AL21,DB!$A$2:$A$62,0),MATCH(Perf!AQ$1,DB!$B$1:$AB$1,0))</f>
        <v>#REF!</v>
      </c>
      <c r="AR21" s="149" t="e">
        <f>INDEX(DB!$B$2:$AB$62,MATCH(Perf!$AL21,DB!$A$2:$A$62,0),MATCH(Perf!AR$1,DB!$B$1:$AB$1,0))</f>
        <v>#REF!</v>
      </c>
      <c r="AS21" s="149" t="e">
        <f>INDEX(DB!$B$2:$AB$62,MATCH(Perf!$AL21,DB!$A$2:$A$62,0),MATCH(Perf!AS$1,DB!$B$1:$AB$1,0))</f>
        <v>#REF!</v>
      </c>
      <c r="AT21" s="149" t="e">
        <f>INDEX(DB!$B$2:$AB$62,MATCH(Perf!$AL21,DB!$A$2:$A$62,0),MATCH(Perf!AT$1,DB!$B$1:$AB$1,0))</f>
        <v>#REF!</v>
      </c>
      <c r="AU21" s="149" t="e">
        <f>INDEX(DB!$B$2:$AB$62,MATCH(Perf!$AL21,DB!$A$2:$A$62,0),MATCH(Perf!AU$1,DB!$B$1:$AB$1,0))</f>
        <v>#REF!</v>
      </c>
      <c r="AV21" s="150" t="e">
        <f t="shared" si="4"/>
        <v>#REF!</v>
      </c>
      <c r="AW21" s="154" t="e">
        <f t="shared" si="4"/>
        <v>#REF!</v>
      </c>
      <c r="AX21" s="149" t="e">
        <f>INDEX(DB!$B$2:$AB$62,MATCH(Perf!$AL21,DB!$A$2:$A$62,0),MATCH(Perf!AX$1,DB!$B$1:$AB$1,0))</f>
        <v>#REF!</v>
      </c>
      <c r="AY21" s="149" t="e">
        <f>INDEX(DB!$B$2:$AB$62,MATCH(Perf!$AL21,DB!$A$2:$A$62,0),MATCH(Perf!AY$1,DB!$B$1:$AB$1,0))</f>
        <v>#REF!</v>
      </c>
      <c r="AZ21" s="149" t="e">
        <f>INDEX(DB!$B$2:$AB$62,MATCH(Perf!$AL21,DB!$A$2:$A$62,0),MATCH(Perf!AZ$1,DB!$B$1:$AB$1,0))</f>
        <v>#REF!</v>
      </c>
      <c r="BA21" s="149" t="e">
        <f>INDEX(DB!$B$2:$AB$62,MATCH(Perf!$AL21,DB!$A$2:$A$62,0),MATCH(Perf!BA$1,DB!$B$1:$AB$1,0))</f>
        <v>#REF!</v>
      </c>
      <c r="BB21" s="149" t="e">
        <f>INDEX(DB!$B$2:$AB$62,MATCH(Perf!$AL21,DB!$A$2:$A$62,0),MATCH(Perf!BB$1,DB!$B$1:$AB$1,0))</f>
        <v>#REF!</v>
      </c>
      <c r="BC21" s="149" t="e">
        <f>INDEX(DB!$B$2:$AB$62,MATCH(Perf!$AL21,DB!$A$2:$A$62,0),MATCH(Perf!BC$1,DB!$B$1:$AB$1,0))</f>
        <v>#REF!</v>
      </c>
      <c r="BD21" s="149" t="e">
        <f>INDEX(DB!$B$2:$AB$62,MATCH(Perf!$AL21,DB!$A$2:$A$62,0),MATCH(Perf!BD$1,DB!$B$1:$AB$1,0))</f>
        <v>#REF!</v>
      </c>
      <c r="BE21" s="149" t="e">
        <f>INDEX(DB!$B$2:$AB$62,MATCH(Perf!$AL21,DB!$A$2:$A$62,0),MATCH(Perf!BE$1,DB!$B$1:$AB$1,0))</f>
        <v>#REF!</v>
      </c>
      <c r="BF21" s="149" t="e">
        <f>INDEX(DB!$B$2:$AB$62,MATCH(Perf!$AL21,DB!$A$2:$A$62,0),MATCH(Perf!BF$1,DB!$B$1:$AB$1,0))</f>
        <v>#REF!</v>
      </c>
      <c r="BG21" s="149" t="e">
        <f>INDEX(DB!$B$2:$AB$62,MATCH(Perf!$AL21,DB!$A$2:$A$62,0),MATCH(Perf!BG$1,DB!$B$1:$AB$1,0))</f>
        <v>#REF!</v>
      </c>
      <c r="BH21" s="149" t="e">
        <f>INDEX(DB!$B$2:$AB$62,MATCH(Perf!$AL21,DB!$A$2:$A$62,0),MATCH(Perf!BH$1,DB!$B$1:$AB$1,0))</f>
        <v>#REF!</v>
      </c>
      <c r="BI21" s="149" t="e">
        <f>INDEX(DB!$B$2:$AB$62,MATCH(Perf!$AL21,DB!$A$2:$A$62,0),MATCH(Perf!BI$1,DB!$B$1:$AB$1,0))</f>
        <v>#REF!</v>
      </c>
      <c r="BJ21" s="149" t="e">
        <f t="shared" si="18"/>
        <v>#REF!</v>
      </c>
      <c r="BK21" s="149" t="e">
        <f>INDEX(DB!$B$2:$AB$62,MATCH(Perf!$AL21,DB!$A$2:$A$62,0),MATCH(Perf!BK$1,DB!$B$1:$AB$1,0))</f>
        <v>#REF!</v>
      </c>
      <c r="BL21" s="150" t="e">
        <f t="shared" si="7"/>
        <v>#REF!</v>
      </c>
      <c r="BM21" s="149" t="e">
        <f>INDEX(DB!$B$2:$AB$62,MATCH(Perf!$AL21,DB!$A$2:$A$62,0),MATCH(Perf!BM$1,DB!$B$1:$AB$1,0))</f>
        <v>#REF!</v>
      </c>
    </row>
    <row r="22" spans="1:65" x14ac:dyDescent="0.15">
      <c r="A22" s="151">
        <f t="shared" si="8"/>
        <v>44712</v>
      </c>
      <c r="B22" s="148" t="e" cm="1">
        <f t="array" ref="B22">SUMPRODUCT(TRANSPOSE(#REF!),Perf!$AM22:$BN22)/100</f>
        <v>#REF!</v>
      </c>
      <c r="C22" s="148" t="e" cm="1">
        <f t="array" ref="C22">SUMPRODUCT(TRANSPOSE(#REF!),Perf!$AM22:$BN22)/100</f>
        <v>#REF!</v>
      </c>
      <c r="D22" s="148" t="e" cm="1">
        <f t="array" ref="D22">SUMPRODUCT(TRANSPOSE(#REF!),Perf!$AM22:$BN22)/100</f>
        <v>#REF!</v>
      </c>
      <c r="E22" s="148" t="e" cm="1">
        <f t="array" ref="E22">SUMPRODUCT(TRANSPOSE(#REF!),Perf!$AM22:$BN22)/100</f>
        <v>#REF!</v>
      </c>
      <c r="F22" s="148" t="e" cm="1">
        <f t="array" ref="F22">SUMPRODUCT(TRANSPOSE(#REF!),Perf!$AM22:$BN22)/100</f>
        <v>#REF!</v>
      </c>
      <c r="G22" s="148" t="e">
        <f t="shared" si="9"/>
        <v>#REF!</v>
      </c>
      <c r="H22" s="148"/>
      <c r="I22" s="160">
        <f t="shared" si="10"/>
        <v>44681</v>
      </c>
      <c r="J22" s="148" t="e">
        <f t="shared" si="19"/>
        <v>#REF!</v>
      </c>
      <c r="K22" s="148" t="e">
        <f t="shared" si="20"/>
        <v>#REF!</v>
      </c>
      <c r="L22" s="148" t="e">
        <f t="shared" si="21"/>
        <v>#REF!</v>
      </c>
      <c r="M22" s="148" t="e">
        <f t="shared" si="22"/>
        <v>#REF!</v>
      </c>
      <c r="N22" s="148" t="e">
        <f t="shared" si="23"/>
        <v>#REF!</v>
      </c>
      <c r="O22" s="148" t="e">
        <f t="shared" si="24"/>
        <v>#REF!</v>
      </c>
      <c r="P22" s="148"/>
      <c r="Q22" s="160">
        <f t="shared" si="12"/>
        <v>44712</v>
      </c>
      <c r="R22" s="148" t="e">
        <f t="shared" si="13"/>
        <v>#REF!</v>
      </c>
      <c r="S22" s="148" t="e">
        <f t="shared" si="14"/>
        <v>#REF!</v>
      </c>
      <c r="T22" s="148" t="e">
        <f t="shared" si="15"/>
        <v>#REF!</v>
      </c>
      <c r="U22" s="148" t="e">
        <f t="shared" si="16"/>
        <v>#REF!</v>
      </c>
      <c r="V22" s="148" t="e">
        <f t="shared" si="17"/>
        <v>#REF!</v>
      </c>
      <c r="W22" s="148"/>
      <c r="X22" s="160"/>
      <c r="Y22" s="148"/>
      <c r="Z22" s="148"/>
      <c r="AA22" s="148"/>
      <c r="AB22" s="148"/>
      <c r="AC22" s="148"/>
      <c r="AD22" s="148"/>
      <c r="AE22" s="160">
        <f t="shared" si="26"/>
        <v>44712</v>
      </c>
      <c r="AF22" s="170" t="e">
        <f t="shared" si="28"/>
        <v>#REF!</v>
      </c>
      <c r="AG22" s="170" t="e">
        <f t="shared" si="29"/>
        <v>#REF!</v>
      </c>
      <c r="AH22" s="170" t="e">
        <f t="shared" si="30"/>
        <v>#REF!</v>
      </c>
      <c r="AI22" s="170" t="e">
        <f t="shared" si="31"/>
        <v>#REF!</v>
      </c>
      <c r="AJ22" s="170" t="e">
        <f t="shared" si="32"/>
        <v>#REF!</v>
      </c>
      <c r="AL22" s="151">
        <f>DB!A22</f>
        <v>44712</v>
      </c>
      <c r="AM22" s="149" t="e">
        <f>INDEX(DB!$B$2:$AB$62,MATCH(Perf!$AL22,DB!$A$2:$A$62,0),MATCH(Perf!AM$1,DB!$B$1:$AB$1,0))</f>
        <v>#REF!</v>
      </c>
      <c r="AN22" s="149" t="e">
        <f>INDEX(DB!$B$2:$AB$62,MATCH(Perf!$AL22,DB!$A$2:$A$62,0),MATCH(Perf!AN$1,DB!$B$1:$AB$1,0))</f>
        <v>#REF!</v>
      </c>
      <c r="AO22" s="149" t="e">
        <f>INDEX(DB!$B$2:$AB$62,MATCH(Perf!$AL22,DB!$A$2:$A$62,0),MATCH(Perf!AO$1,DB!$B$1:$AB$1,0))</f>
        <v>#REF!</v>
      </c>
      <c r="AP22" s="149" t="e">
        <f>INDEX(DB!$B$2:$AB$62,MATCH(Perf!$AL22,DB!$A$2:$A$62,0),MATCH(Perf!AP$1,DB!$B$1:$AB$1,0))</f>
        <v>#REF!</v>
      </c>
      <c r="AQ22" s="149" t="e">
        <f>INDEX(DB!$B$2:$AB$62,MATCH(Perf!$AL22,DB!$A$2:$A$62,0),MATCH(Perf!AQ$1,DB!$B$1:$AB$1,0))</f>
        <v>#REF!</v>
      </c>
      <c r="AR22" s="149" t="e">
        <f>INDEX(DB!$B$2:$AB$62,MATCH(Perf!$AL22,DB!$A$2:$A$62,0),MATCH(Perf!AR$1,DB!$B$1:$AB$1,0))</f>
        <v>#REF!</v>
      </c>
      <c r="AS22" s="149" t="e">
        <f>INDEX(DB!$B$2:$AB$62,MATCH(Perf!$AL22,DB!$A$2:$A$62,0),MATCH(Perf!AS$1,DB!$B$1:$AB$1,0))</f>
        <v>#REF!</v>
      </c>
      <c r="AT22" s="149" t="e">
        <f>INDEX(DB!$B$2:$AB$62,MATCH(Perf!$AL22,DB!$A$2:$A$62,0),MATCH(Perf!AT$1,DB!$B$1:$AB$1,0))</f>
        <v>#REF!</v>
      </c>
      <c r="AU22" s="149" t="e">
        <f>INDEX(DB!$B$2:$AB$62,MATCH(Perf!$AL22,DB!$A$2:$A$62,0),MATCH(Perf!AU$1,DB!$B$1:$AB$1,0))</f>
        <v>#REF!</v>
      </c>
      <c r="AV22" s="150" t="e">
        <f t="shared" si="4"/>
        <v>#REF!</v>
      </c>
      <c r="AW22" s="154" t="e">
        <f t="shared" si="4"/>
        <v>#REF!</v>
      </c>
      <c r="AX22" s="149" t="e">
        <f>INDEX(DB!$B$2:$AB$62,MATCH(Perf!$AL22,DB!$A$2:$A$62,0),MATCH(Perf!AX$1,DB!$B$1:$AB$1,0))</f>
        <v>#REF!</v>
      </c>
      <c r="AY22" s="149" t="e">
        <f>INDEX(DB!$B$2:$AB$62,MATCH(Perf!$AL22,DB!$A$2:$A$62,0),MATCH(Perf!AY$1,DB!$B$1:$AB$1,0))</f>
        <v>#REF!</v>
      </c>
      <c r="AZ22" s="149" t="e">
        <f>INDEX(DB!$B$2:$AB$62,MATCH(Perf!$AL22,DB!$A$2:$A$62,0),MATCH(Perf!AZ$1,DB!$B$1:$AB$1,0))</f>
        <v>#REF!</v>
      </c>
      <c r="BA22" s="149" t="e">
        <f>INDEX(DB!$B$2:$AB$62,MATCH(Perf!$AL22,DB!$A$2:$A$62,0),MATCH(Perf!BA$1,DB!$B$1:$AB$1,0))</f>
        <v>#REF!</v>
      </c>
      <c r="BB22" s="149" t="e">
        <f>INDEX(DB!$B$2:$AB$62,MATCH(Perf!$AL22,DB!$A$2:$A$62,0),MATCH(Perf!BB$1,DB!$B$1:$AB$1,0))</f>
        <v>#REF!</v>
      </c>
      <c r="BC22" s="149" t="e">
        <f>INDEX(DB!$B$2:$AB$62,MATCH(Perf!$AL22,DB!$A$2:$A$62,0),MATCH(Perf!BC$1,DB!$B$1:$AB$1,0))</f>
        <v>#REF!</v>
      </c>
      <c r="BD22" s="149" t="e">
        <f>INDEX(DB!$B$2:$AB$62,MATCH(Perf!$AL22,DB!$A$2:$A$62,0),MATCH(Perf!BD$1,DB!$B$1:$AB$1,0))</f>
        <v>#REF!</v>
      </c>
      <c r="BE22" s="149" t="e">
        <f>INDEX(DB!$B$2:$AB$62,MATCH(Perf!$AL22,DB!$A$2:$A$62,0),MATCH(Perf!BE$1,DB!$B$1:$AB$1,0))</f>
        <v>#REF!</v>
      </c>
      <c r="BF22" s="149" t="e">
        <f>INDEX(DB!$B$2:$AB$62,MATCH(Perf!$AL22,DB!$A$2:$A$62,0),MATCH(Perf!BF$1,DB!$B$1:$AB$1,0))</f>
        <v>#REF!</v>
      </c>
      <c r="BG22" s="149" t="e">
        <f>INDEX(DB!$B$2:$AB$62,MATCH(Perf!$AL22,DB!$A$2:$A$62,0),MATCH(Perf!BG$1,DB!$B$1:$AB$1,0))</f>
        <v>#REF!</v>
      </c>
      <c r="BH22" s="149" t="e">
        <f>INDEX(DB!$B$2:$AB$62,MATCH(Perf!$AL22,DB!$A$2:$A$62,0),MATCH(Perf!BH$1,DB!$B$1:$AB$1,0))</f>
        <v>#REF!</v>
      </c>
      <c r="BI22" s="149" t="e">
        <f>INDEX(DB!$B$2:$AB$62,MATCH(Perf!$AL22,DB!$A$2:$A$62,0),MATCH(Perf!BI$1,DB!$B$1:$AB$1,0))</f>
        <v>#REF!</v>
      </c>
      <c r="BJ22" s="149" t="e">
        <f t="shared" si="18"/>
        <v>#REF!</v>
      </c>
      <c r="BK22" s="149" t="e">
        <f>INDEX(DB!$B$2:$AB$62,MATCH(Perf!$AL22,DB!$A$2:$A$62,0),MATCH(Perf!BK$1,DB!$B$1:$AB$1,0))</f>
        <v>#REF!</v>
      </c>
      <c r="BL22" s="150" t="e">
        <f t="shared" si="7"/>
        <v>#REF!</v>
      </c>
      <c r="BM22" s="149" t="e">
        <f>INDEX(DB!$B$2:$AB$62,MATCH(Perf!$AL22,DB!$A$2:$A$62,0),MATCH(Perf!BM$1,DB!$B$1:$AB$1,0))</f>
        <v>#REF!</v>
      </c>
    </row>
    <row r="23" spans="1:65" x14ac:dyDescent="0.15">
      <c r="A23" s="151">
        <f t="shared" si="8"/>
        <v>44742</v>
      </c>
      <c r="B23" s="148" t="e" cm="1">
        <f t="array" ref="B23">SUMPRODUCT(TRANSPOSE(#REF!),Perf!$AM23:$BN23)/100</f>
        <v>#REF!</v>
      </c>
      <c r="C23" s="148" t="e" cm="1">
        <f t="array" ref="C23">SUMPRODUCT(TRANSPOSE(#REF!),Perf!$AM23:$BN23)/100</f>
        <v>#REF!</v>
      </c>
      <c r="D23" s="148" t="e" cm="1">
        <f t="array" ref="D23">SUMPRODUCT(TRANSPOSE(#REF!),Perf!$AM23:$BN23)/100</f>
        <v>#REF!</v>
      </c>
      <c r="E23" s="148" t="e" cm="1">
        <f t="array" ref="E23">SUMPRODUCT(TRANSPOSE(#REF!),Perf!$AM23:$BN23)/100</f>
        <v>#REF!</v>
      </c>
      <c r="F23" s="148" t="e" cm="1">
        <f t="array" ref="F23">SUMPRODUCT(TRANSPOSE(#REF!),Perf!$AM23:$BN23)/100</f>
        <v>#REF!</v>
      </c>
      <c r="G23" s="148" t="e">
        <f t="shared" si="9"/>
        <v>#REF!</v>
      </c>
      <c r="H23" s="148"/>
      <c r="I23" s="160">
        <f t="shared" si="10"/>
        <v>44712</v>
      </c>
      <c r="J23" s="148" t="e">
        <f t="shared" si="19"/>
        <v>#REF!</v>
      </c>
      <c r="K23" s="148" t="e">
        <f t="shared" si="20"/>
        <v>#REF!</v>
      </c>
      <c r="L23" s="148" t="e">
        <f t="shared" si="21"/>
        <v>#REF!</v>
      </c>
      <c r="M23" s="148" t="e">
        <f t="shared" si="22"/>
        <v>#REF!</v>
      </c>
      <c r="N23" s="148" t="e">
        <f t="shared" si="23"/>
        <v>#REF!</v>
      </c>
      <c r="O23" s="148" t="e">
        <f t="shared" si="24"/>
        <v>#REF!</v>
      </c>
      <c r="P23" s="148"/>
      <c r="Q23" s="160">
        <f t="shared" si="12"/>
        <v>44742</v>
      </c>
      <c r="R23" s="148" t="e">
        <f t="shared" si="13"/>
        <v>#REF!</v>
      </c>
      <c r="S23" s="148" t="e">
        <f t="shared" si="14"/>
        <v>#REF!</v>
      </c>
      <c r="T23" s="148" t="e">
        <f t="shared" si="15"/>
        <v>#REF!</v>
      </c>
      <c r="U23" s="148" t="e">
        <f t="shared" si="16"/>
        <v>#REF!</v>
      </c>
      <c r="V23" s="148" t="e">
        <f t="shared" si="17"/>
        <v>#REF!</v>
      </c>
      <c r="W23" s="148"/>
      <c r="X23" s="160"/>
      <c r="Y23" s="148"/>
      <c r="Z23" s="148"/>
      <c r="AA23" s="148"/>
      <c r="AB23" s="148"/>
      <c r="AC23" s="148"/>
      <c r="AD23" s="148"/>
      <c r="AE23" s="160">
        <f t="shared" si="26"/>
        <v>44742</v>
      </c>
      <c r="AF23" s="170" t="e">
        <f t="shared" si="28"/>
        <v>#REF!</v>
      </c>
      <c r="AG23" s="170" t="e">
        <f t="shared" si="29"/>
        <v>#REF!</v>
      </c>
      <c r="AH23" s="170" t="e">
        <f t="shared" si="30"/>
        <v>#REF!</v>
      </c>
      <c r="AI23" s="170" t="e">
        <f t="shared" si="31"/>
        <v>#REF!</v>
      </c>
      <c r="AJ23" s="170" t="e">
        <f t="shared" si="32"/>
        <v>#REF!</v>
      </c>
      <c r="AL23" s="151">
        <f>DB!A23</f>
        <v>44742</v>
      </c>
      <c r="AM23" s="149" t="e">
        <f>INDEX(DB!$B$2:$AB$62,MATCH(Perf!$AL23,DB!$A$2:$A$62,0),MATCH(Perf!AM$1,DB!$B$1:$AB$1,0))</f>
        <v>#REF!</v>
      </c>
      <c r="AN23" s="149" t="e">
        <f>INDEX(DB!$B$2:$AB$62,MATCH(Perf!$AL23,DB!$A$2:$A$62,0),MATCH(Perf!AN$1,DB!$B$1:$AB$1,0))</f>
        <v>#REF!</v>
      </c>
      <c r="AO23" s="149" t="e">
        <f>INDEX(DB!$B$2:$AB$62,MATCH(Perf!$AL23,DB!$A$2:$A$62,0),MATCH(Perf!AO$1,DB!$B$1:$AB$1,0))</f>
        <v>#REF!</v>
      </c>
      <c r="AP23" s="149" t="e">
        <f>INDEX(DB!$B$2:$AB$62,MATCH(Perf!$AL23,DB!$A$2:$A$62,0),MATCH(Perf!AP$1,DB!$B$1:$AB$1,0))</f>
        <v>#REF!</v>
      </c>
      <c r="AQ23" s="149" t="e">
        <f>INDEX(DB!$B$2:$AB$62,MATCH(Perf!$AL23,DB!$A$2:$A$62,0),MATCH(Perf!AQ$1,DB!$B$1:$AB$1,0))</f>
        <v>#REF!</v>
      </c>
      <c r="AR23" s="149" t="e">
        <f>INDEX(DB!$B$2:$AB$62,MATCH(Perf!$AL23,DB!$A$2:$A$62,0),MATCH(Perf!AR$1,DB!$B$1:$AB$1,0))</f>
        <v>#REF!</v>
      </c>
      <c r="AS23" s="149" t="e">
        <f>INDEX(DB!$B$2:$AB$62,MATCH(Perf!$AL23,DB!$A$2:$A$62,0),MATCH(Perf!AS$1,DB!$B$1:$AB$1,0))</f>
        <v>#REF!</v>
      </c>
      <c r="AT23" s="149" t="e">
        <f>INDEX(DB!$B$2:$AB$62,MATCH(Perf!$AL23,DB!$A$2:$A$62,0),MATCH(Perf!AT$1,DB!$B$1:$AB$1,0))</f>
        <v>#REF!</v>
      </c>
      <c r="AU23" s="149" t="e">
        <f>INDEX(DB!$B$2:$AB$62,MATCH(Perf!$AL23,DB!$A$2:$A$62,0),MATCH(Perf!AU$1,DB!$B$1:$AB$1,0))</f>
        <v>#REF!</v>
      </c>
      <c r="AV23" s="150" t="e">
        <f t="shared" si="4"/>
        <v>#REF!</v>
      </c>
      <c r="AW23" s="154" t="e">
        <f t="shared" si="4"/>
        <v>#REF!</v>
      </c>
      <c r="AX23" s="149" t="e">
        <f>INDEX(DB!$B$2:$AB$62,MATCH(Perf!$AL23,DB!$A$2:$A$62,0),MATCH(Perf!AX$1,DB!$B$1:$AB$1,0))</f>
        <v>#REF!</v>
      </c>
      <c r="AY23" s="149" t="e">
        <f>INDEX(DB!$B$2:$AB$62,MATCH(Perf!$AL23,DB!$A$2:$A$62,0),MATCH(Perf!AY$1,DB!$B$1:$AB$1,0))</f>
        <v>#REF!</v>
      </c>
      <c r="AZ23" s="149" t="e">
        <f>INDEX(DB!$B$2:$AB$62,MATCH(Perf!$AL23,DB!$A$2:$A$62,0),MATCH(Perf!AZ$1,DB!$B$1:$AB$1,0))</f>
        <v>#REF!</v>
      </c>
      <c r="BA23" s="149" t="e">
        <f>INDEX(DB!$B$2:$AB$62,MATCH(Perf!$AL23,DB!$A$2:$A$62,0),MATCH(Perf!BA$1,DB!$B$1:$AB$1,0))</f>
        <v>#REF!</v>
      </c>
      <c r="BB23" s="149" t="e">
        <f>INDEX(DB!$B$2:$AB$62,MATCH(Perf!$AL23,DB!$A$2:$A$62,0),MATCH(Perf!BB$1,DB!$B$1:$AB$1,0))</f>
        <v>#REF!</v>
      </c>
      <c r="BC23" s="149" t="e">
        <f>INDEX(DB!$B$2:$AB$62,MATCH(Perf!$AL23,DB!$A$2:$A$62,0),MATCH(Perf!BC$1,DB!$B$1:$AB$1,0))</f>
        <v>#REF!</v>
      </c>
      <c r="BD23" s="149" t="e">
        <f>INDEX(DB!$B$2:$AB$62,MATCH(Perf!$AL23,DB!$A$2:$A$62,0),MATCH(Perf!BD$1,DB!$B$1:$AB$1,0))</f>
        <v>#REF!</v>
      </c>
      <c r="BE23" s="149" t="e">
        <f>INDEX(DB!$B$2:$AB$62,MATCH(Perf!$AL23,DB!$A$2:$A$62,0),MATCH(Perf!BE$1,DB!$B$1:$AB$1,0))</f>
        <v>#REF!</v>
      </c>
      <c r="BF23" s="149" t="e">
        <f>INDEX(DB!$B$2:$AB$62,MATCH(Perf!$AL23,DB!$A$2:$A$62,0),MATCH(Perf!BF$1,DB!$B$1:$AB$1,0))</f>
        <v>#REF!</v>
      </c>
      <c r="BG23" s="149" t="e">
        <f>INDEX(DB!$B$2:$AB$62,MATCH(Perf!$AL23,DB!$A$2:$A$62,0),MATCH(Perf!BG$1,DB!$B$1:$AB$1,0))</f>
        <v>#REF!</v>
      </c>
      <c r="BH23" s="149" t="e">
        <f>INDEX(DB!$B$2:$AB$62,MATCH(Perf!$AL23,DB!$A$2:$A$62,0),MATCH(Perf!BH$1,DB!$B$1:$AB$1,0))</f>
        <v>#REF!</v>
      </c>
      <c r="BI23" s="149" t="e">
        <f>INDEX(DB!$B$2:$AB$62,MATCH(Perf!$AL23,DB!$A$2:$A$62,0),MATCH(Perf!BI$1,DB!$B$1:$AB$1,0))</f>
        <v>#REF!</v>
      </c>
      <c r="BJ23" s="149" t="e">
        <f t="shared" si="18"/>
        <v>#REF!</v>
      </c>
      <c r="BK23" s="149" t="e">
        <f>INDEX(DB!$B$2:$AB$62,MATCH(Perf!$AL23,DB!$A$2:$A$62,0),MATCH(Perf!BK$1,DB!$B$1:$AB$1,0))</f>
        <v>#REF!</v>
      </c>
      <c r="BL23" s="150" t="e">
        <f t="shared" si="7"/>
        <v>#REF!</v>
      </c>
      <c r="BM23" s="149" t="e">
        <f>INDEX(DB!$B$2:$AB$62,MATCH(Perf!$AL23,DB!$A$2:$A$62,0),MATCH(Perf!BM$1,DB!$B$1:$AB$1,0))</f>
        <v>#REF!</v>
      </c>
    </row>
    <row r="24" spans="1:65" x14ac:dyDescent="0.15">
      <c r="A24" s="151">
        <f t="shared" si="8"/>
        <v>44773</v>
      </c>
      <c r="B24" s="148" t="e" cm="1">
        <f t="array" ref="B24">SUMPRODUCT(TRANSPOSE(#REF!),Perf!$AM24:$BN24)/100</f>
        <v>#REF!</v>
      </c>
      <c r="C24" s="148" t="e" cm="1">
        <f t="array" ref="C24">SUMPRODUCT(TRANSPOSE(#REF!),Perf!$AM24:$BN24)/100</f>
        <v>#REF!</v>
      </c>
      <c r="D24" s="148" t="e" cm="1">
        <f t="array" ref="D24">SUMPRODUCT(TRANSPOSE(#REF!),Perf!$AM24:$BN24)/100</f>
        <v>#REF!</v>
      </c>
      <c r="E24" s="148" t="e" cm="1">
        <f t="array" ref="E24">SUMPRODUCT(TRANSPOSE(#REF!),Perf!$AM24:$BN24)/100</f>
        <v>#REF!</v>
      </c>
      <c r="F24" s="148" t="e" cm="1">
        <f t="array" ref="F24">SUMPRODUCT(TRANSPOSE(#REF!),Perf!$AM24:$BN24)/100</f>
        <v>#REF!</v>
      </c>
      <c r="G24" s="148" t="e">
        <f t="shared" si="9"/>
        <v>#REF!</v>
      </c>
      <c r="H24" s="148"/>
      <c r="I24" s="160">
        <f t="shared" si="10"/>
        <v>44742</v>
      </c>
      <c r="J24" s="148" t="e">
        <f t="shared" si="19"/>
        <v>#REF!</v>
      </c>
      <c r="K24" s="148" t="e">
        <f t="shared" si="20"/>
        <v>#REF!</v>
      </c>
      <c r="L24" s="148" t="e">
        <f t="shared" si="21"/>
        <v>#REF!</v>
      </c>
      <c r="M24" s="148" t="e">
        <f t="shared" si="22"/>
        <v>#REF!</v>
      </c>
      <c r="N24" s="148" t="e">
        <f t="shared" si="23"/>
        <v>#REF!</v>
      </c>
      <c r="O24" s="148" t="e">
        <f t="shared" si="24"/>
        <v>#REF!</v>
      </c>
      <c r="P24" s="148"/>
      <c r="Q24" s="160">
        <f t="shared" si="12"/>
        <v>44773</v>
      </c>
      <c r="R24" s="148" t="e">
        <f t="shared" si="13"/>
        <v>#REF!</v>
      </c>
      <c r="S24" s="148" t="e">
        <f t="shared" si="14"/>
        <v>#REF!</v>
      </c>
      <c r="T24" s="148" t="e">
        <f t="shared" si="15"/>
        <v>#REF!</v>
      </c>
      <c r="U24" s="148" t="e">
        <f t="shared" si="16"/>
        <v>#REF!</v>
      </c>
      <c r="V24" s="148" t="e">
        <f t="shared" si="17"/>
        <v>#REF!</v>
      </c>
      <c r="W24" s="148"/>
      <c r="AD24" s="148"/>
      <c r="AE24" s="160">
        <f t="shared" si="26"/>
        <v>44773</v>
      </c>
      <c r="AF24" s="170" t="e">
        <f t="shared" si="28"/>
        <v>#REF!</v>
      </c>
      <c r="AG24" s="170" t="e">
        <f t="shared" si="29"/>
        <v>#REF!</v>
      </c>
      <c r="AH24" s="170" t="e">
        <f t="shared" si="30"/>
        <v>#REF!</v>
      </c>
      <c r="AI24" s="170" t="e">
        <f t="shared" si="31"/>
        <v>#REF!</v>
      </c>
      <c r="AJ24" s="170" t="e">
        <f t="shared" si="32"/>
        <v>#REF!</v>
      </c>
      <c r="AL24" s="151">
        <f>DB!A24</f>
        <v>44773</v>
      </c>
      <c r="AM24" s="149" t="e">
        <f>INDEX(DB!$B$2:$AB$62,MATCH(Perf!$AL24,DB!$A$2:$A$62,0),MATCH(Perf!AM$1,DB!$B$1:$AB$1,0))</f>
        <v>#REF!</v>
      </c>
      <c r="AN24" s="149" t="e">
        <f>INDEX(DB!$B$2:$AB$62,MATCH(Perf!$AL24,DB!$A$2:$A$62,0),MATCH(Perf!AN$1,DB!$B$1:$AB$1,0))</f>
        <v>#REF!</v>
      </c>
      <c r="AO24" s="149" t="e">
        <f>INDEX(DB!$B$2:$AB$62,MATCH(Perf!$AL24,DB!$A$2:$A$62,0),MATCH(Perf!AO$1,DB!$B$1:$AB$1,0))</f>
        <v>#REF!</v>
      </c>
      <c r="AP24" s="149" t="e">
        <f>INDEX(DB!$B$2:$AB$62,MATCH(Perf!$AL24,DB!$A$2:$A$62,0),MATCH(Perf!AP$1,DB!$B$1:$AB$1,0))</f>
        <v>#REF!</v>
      </c>
      <c r="AQ24" s="149" t="e">
        <f>INDEX(DB!$B$2:$AB$62,MATCH(Perf!$AL24,DB!$A$2:$A$62,0),MATCH(Perf!AQ$1,DB!$B$1:$AB$1,0))</f>
        <v>#REF!</v>
      </c>
      <c r="AR24" s="149" t="e">
        <f>INDEX(DB!$B$2:$AB$62,MATCH(Perf!$AL24,DB!$A$2:$A$62,0),MATCH(Perf!AR$1,DB!$B$1:$AB$1,0))</f>
        <v>#REF!</v>
      </c>
      <c r="AS24" s="149" t="e">
        <f>INDEX(DB!$B$2:$AB$62,MATCH(Perf!$AL24,DB!$A$2:$A$62,0),MATCH(Perf!AS$1,DB!$B$1:$AB$1,0))</f>
        <v>#REF!</v>
      </c>
      <c r="AT24" s="149" t="e">
        <f>INDEX(DB!$B$2:$AB$62,MATCH(Perf!$AL24,DB!$A$2:$A$62,0),MATCH(Perf!AT$1,DB!$B$1:$AB$1,0))</f>
        <v>#REF!</v>
      </c>
      <c r="AU24" s="149" t="e">
        <f>INDEX(DB!$B$2:$AB$62,MATCH(Perf!$AL24,DB!$A$2:$A$62,0),MATCH(Perf!AU$1,DB!$B$1:$AB$1,0))</f>
        <v>#REF!</v>
      </c>
      <c r="AV24" s="150" t="e">
        <f t="shared" si="4"/>
        <v>#REF!</v>
      </c>
      <c r="AW24" s="154" t="e">
        <f t="shared" si="4"/>
        <v>#REF!</v>
      </c>
      <c r="AX24" s="149" t="e">
        <f>INDEX(DB!$B$2:$AB$62,MATCH(Perf!$AL24,DB!$A$2:$A$62,0),MATCH(Perf!AX$1,DB!$B$1:$AB$1,0))</f>
        <v>#REF!</v>
      </c>
      <c r="AY24" s="149" t="e">
        <f>INDEX(DB!$B$2:$AB$62,MATCH(Perf!$AL24,DB!$A$2:$A$62,0),MATCH(Perf!AY$1,DB!$B$1:$AB$1,0))</f>
        <v>#REF!</v>
      </c>
      <c r="AZ24" s="149" t="e">
        <f>INDEX(DB!$B$2:$AB$62,MATCH(Perf!$AL24,DB!$A$2:$A$62,0),MATCH(Perf!AZ$1,DB!$B$1:$AB$1,0))</f>
        <v>#REF!</v>
      </c>
      <c r="BA24" s="149" t="e">
        <f>INDEX(DB!$B$2:$AB$62,MATCH(Perf!$AL24,DB!$A$2:$A$62,0),MATCH(Perf!BA$1,DB!$B$1:$AB$1,0))</f>
        <v>#REF!</v>
      </c>
      <c r="BB24" s="149" t="e">
        <f>INDEX(DB!$B$2:$AB$62,MATCH(Perf!$AL24,DB!$A$2:$A$62,0),MATCH(Perf!BB$1,DB!$B$1:$AB$1,0))</f>
        <v>#REF!</v>
      </c>
      <c r="BC24" s="149" t="e">
        <f>INDEX(DB!$B$2:$AB$62,MATCH(Perf!$AL24,DB!$A$2:$A$62,0),MATCH(Perf!BC$1,DB!$B$1:$AB$1,0))</f>
        <v>#REF!</v>
      </c>
      <c r="BD24" s="149" t="e">
        <f>INDEX(DB!$B$2:$AB$62,MATCH(Perf!$AL24,DB!$A$2:$A$62,0),MATCH(Perf!BD$1,DB!$B$1:$AB$1,0))</f>
        <v>#REF!</v>
      </c>
      <c r="BE24" s="149" t="e">
        <f>INDEX(DB!$B$2:$AB$62,MATCH(Perf!$AL24,DB!$A$2:$A$62,0),MATCH(Perf!BE$1,DB!$B$1:$AB$1,0))</f>
        <v>#REF!</v>
      </c>
      <c r="BF24" s="149" t="e">
        <f>INDEX(DB!$B$2:$AB$62,MATCH(Perf!$AL24,DB!$A$2:$A$62,0),MATCH(Perf!BF$1,DB!$B$1:$AB$1,0))</f>
        <v>#REF!</v>
      </c>
      <c r="BG24" s="149" t="e">
        <f>INDEX(DB!$B$2:$AB$62,MATCH(Perf!$AL24,DB!$A$2:$A$62,0),MATCH(Perf!BG$1,DB!$B$1:$AB$1,0))</f>
        <v>#REF!</v>
      </c>
      <c r="BH24" s="149" t="e">
        <f>INDEX(DB!$B$2:$AB$62,MATCH(Perf!$AL24,DB!$A$2:$A$62,0),MATCH(Perf!BH$1,DB!$B$1:$AB$1,0))</f>
        <v>#REF!</v>
      </c>
      <c r="BI24" s="149" t="e">
        <f>INDEX(DB!$B$2:$AB$62,MATCH(Perf!$AL24,DB!$A$2:$A$62,0),MATCH(Perf!BI$1,DB!$B$1:$AB$1,0))</f>
        <v>#REF!</v>
      </c>
      <c r="BJ24" s="149" t="e">
        <f t="shared" si="18"/>
        <v>#REF!</v>
      </c>
      <c r="BK24" s="149" t="e">
        <f>INDEX(DB!$B$2:$AB$62,MATCH(Perf!$AL24,DB!$A$2:$A$62,0),MATCH(Perf!BK$1,DB!$B$1:$AB$1,0))</f>
        <v>#REF!</v>
      </c>
      <c r="BL24" s="150" t="e">
        <f t="shared" si="7"/>
        <v>#REF!</v>
      </c>
      <c r="BM24" s="149" t="e">
        <f>INDEX(DB!$B$2:$AB$62,MATCH(Perf!$AL24,DB!$A$2:$A$62,0),MATCH(Perf!BM$1,DB!$B$1:$AB$1,0))</f>
        <v>#REF!</v>
      </c>
    </row>
    <row r="25" spans="1:65" x14ac:dyDescent="0.15">
      <c r="A25" s="151">
        <f t="shared" si="8"/>
        <v>44804</v>
      </c>
      <c r="B25" s="148" t="e" cm="1">
        <f t="array" ref="B25">SUMPRODUCT(TRANSPOSE(#REF!),Perf!$AM25:$BN25)/100</f>
        <v>#REF!</v>
      </c>
      <c r="C25" s="148" t="e" cm="1">
        <f t="array" ref="C25">SUMPRODUCT(TRANSPOSE(#REF!),Perf!$AM25:$BN25)/100</f>
        <v>#REF!</v>
      </c>
      <c r="D25" s="148" t="e" cm="1">
        <f t="array" ref="D25">SUMPRODUCT(TRANSPOSE(#REF!),Perf!$AM25:$BN25)/100</f>
        <v>#REF!</v>
      </c>
      <c r="E25" s="148" t="e" cm="1">
        <f t="array" ref="E25">SUMPRODUCT(TRANSPOSE(#REF!),Perf!$AM25:$BN25)/100</f>
        <v>#REF!</v>
      </c>
      <c r="F25" s="148" t="e" cm="1">
        <f t="array" ref="F25">SUMPRODUCT(TRANSPOSE(#REF!),Perf!$AM25:$BN25)/100</f>
        <v>#REF!</v>
      </c>
      <c r="G25" s="148" t="e">
        <f t="shared" si="9"/>
        <v>#REF!</v>
      </c>
      <c r="H25" s="148"/>
      <c r="I25" s="160">
        <f t="shared" si="10"/>
        <v>44773</v>
      </c>
      <c r="J25" s="148" t="e">
        <f t="shared" si="19"/>
        <v>#REF!</v>
      </c>
      <c r="K25" s="148" t="e">
        <f t="shared" si="20"/>
        <v>#REF!</v>
      </c>
      <c r="L25" s="148" t="e">
        <f t="shared" si="21"/>
        <v>#REF!</v>
      </c>
      <c r="M25" s="148" t="e">
        <f t="shared" si="22"/>
        <v>#REF!</v>
      </c>
      <c r="N25" s="148" t="e">
        <f t="shared" si="23"/>
        <v>#REF!</v>
      </c>
      <c r="O25" s="148" t="e">
        <f t="shared" si="24"/>
        <v>#REF!</v>
      </c>
      <c r="P25" s="148"/>
      <c r="Q25" s="160">
        <f t="shared" si="12"/>
        <v>44804</v>
      </c>
      <c r="R25" s="148" t="e">
        <f t="shared" si="13"/>
        <v>#REF!</v>
      </c>
      <c r="S25" s="148" t="e">
        <f t="shared" si="14"/>
        <v>#REF!</v>
      </c>
      <c r="T25" s="148" t="e">
        <f t="shared" si="15"/>
        <v>#REF!</v>
      </c>
      <c r="U25" s="148" t="e">
        <f t="shared" si="16"/>
        <v>#REF!</v>
      </c>
      <c r="V25" s="148" t="e">
        <f t="shared" si="17"/>
        <v>#REF!</v>
      </c>
      <c r="W25" s="148"/>
      <c r="X25" s="160"/>
      <c r="Y25" s="169"/>
      <c r="Z25" s="169"/>
      <c r="AA25" s="169"/>
      <c r="AB25" s="169"/>
      <c r="AC25" s="169"/>
      <c r="AD25" s="148"/>
      <c r="AE25" s="160">
        <f t="shared" si="26"/>
        <v>44804</v>
      </c>
      <c r="AF25" s="170" t="e">
        <f t="shared" si="28"/>
        <v>#REF!</v>
      </c>
      <c r="AG25" s="170" t="e">
        <f t="shared" si="29"/>
        <v>#REF!</v>
      </c>
      <c r="AH25" s="170" t="e">
        <f t="shared" si="30"/>
        <v>#REF!</v>
      </c>
      <c r="AI25" s="170" t="e">
        <f t="shared" si="31"/>
        <v>#REF!</v>
      </c>
      <c r="AJ25" s="170" t="e">
        <f t="shared" si="32"/>
        <v>#REF!</v>
      </c>
      <c r="AL25" s="151">
        <f>DB!A25</f>
        <v>44804</v>
      </c>
      <c r="AM25" s="149" t="e">
        <f>INDEX(DB!$B$2:$AB$62,MATCH(Perf!$AL25,DB!$A$2:$A$62,0),MATCH(Perf!AM$1,DB!$B$1:$AB$1,0))</f>
        <v>#REF!</v>
      </c>
      <c r="AN25" s="149" t="e">
        <f>INDEX(DB!$B$2:$AB$62,MATCH(Perf!$AL25,DB!$A$2:$A$62,0),MATCH(Perf!AN$1,DB!$B$1:$AB$1,0))</f>
        <v>#REF!</v>
      </c>
      <c r="AO25" s="149" t="e">
        <f>INDEX(DB!$B$2:$AB$62,MATCH(Perf!$AL25,DB!$A$2:$A$62,0),MATCH(Perf!AO$1,DB!$B$1:$AB$1,0))</f>
        <v>#REF!</v>
      </c>
      <c r="AP25" s="149" t="e">
        <f>INDEX(DB!$B$2:$AB$62,MATCH(Perf!$AL25,DB!$A$2:$A$62,0),MATCH(Perf!AP$1,DB!$B$1:$AB$1,0))</f>
        <v>#REF!</v>
      </c>
      <c r="AQ25" s="149" t="e">
        <f>INDEX(DB!$B$2:$AB$62,MATCH(Perf!$AL25,DB!$A$2:$A$62,0),MATCH(Perf!AQ$1,DB!$B$1:$AB$1,0))</f>
        <v>#REF!</v>
      </c>
      <c r="AR25" s="149" t="e">
        <f>INDEX(DB!$B$2:$AB$62,MATCH(Perf!$AL25,DB!$A$2:$A$62,0),MATCH(Perf!AR$1,DB!$B$1:$AB$1,0))</f>
        <v>#REF!</v>
      </c>
      <c r="AS25" s="149" t="e">
        <f>INDEX(DB!$B$2:$AB$62,MATCH(Perf!$AL25,DB!$A$2:$A$62,0),MATCH(Perf!AS$1,DB!$B$1:$AB$1,0))</f>
        <v>#REF!</v>
      </c>
      <c r="AT25" s="149" t="e">
        <f>INDEX(DB!$B$2:$AB$62,MATCH(Perf!$AL25,DB!$A$2:$A$62,0),MATCH(Perf!AT$1,DB!$B$1:$AB$1,0))</f>
        <v>#REF!</v>
      </c>
      <c r="AU25" s="149" t="e">
        <f>INDEX(DB!$B$2:$AB$62,MATCH(Perf!$AL25,DB!$A$2:$A$62,0),MATCH(Perf!AU$1,DB!$B$1:$AB$1,0))</f>
        <v>#REF!</v>
      </c>
      <c r="AV25" s="150" t="e">
        <f t="shared" si="4"/>
        <v>#REF!</v>
      </c>
      <c r="AW25" s="154" t="e">
        <f t="shared" si="4"/>
        <v>#REF!</v>
      </c>
      <c r="AX25" s="149" t="e">
        <f>INDEX(DB!$B$2:$AB$62,MATCH(Perf!$AL25,DB!$A$2:$A$62,0),MATCH(Perf!AX$1,DB!$B$1:$AB$1,0))</f>
        <v>#REF!</v>
      </c>
      <c r="AY25" s="149" t="e">
        <f>INDEX(DB!$B$2:$AB$62,MATCH(Perf!$AL25,DB!$A$2:$A$62,0),MATCH(Perf!AY$1,DB!$B$1:$AB$1,0))</f>
        <v>#REF!</v>
      </c>
      <c r="AZ25" s="149" t="e">
        <f>INDEX(DB!$B$2:$AB$62,MATCH(Perf!$AL25,DB!$A$2:$A$62,0),MATCH(Perf!AZ$1,DB!$B$1:$AB$1,0))</f>
        <v>#REF!</v>
      </c>
      <c r="BA25" s="149" t="e">
        <f>INDEX(DB!$B$2:$AB$62,MATCH(Perf!$AL25,DB!$A$2:$A$62,0),MATCH(Perf!BA$1,DB!$B$1:$AB$1,0))</f>
        <v>#REF!</v>
      </c>
      <c r="BB25" s="149" t="e">
        <f>INDEX(DB!$B$2:$AB$62,MATCH(Perf!$AL25,DB!$A$2:$A$62,0),MATCH(Perf!BB$1,DB!$B$1:$AB$1,0))</f>
        <v>#REF!</v>
      </c>
      <c r="BC25" s="149" t="e">
        <f>INDEX(DB!$B$2:$AB$62,MATCH(Perf!$AL25,DB!$A$2:$A$62,0),MATCH(Perf!BC$1,DB!$B$1:$AB$1,0))</f>
        <v>#REF!</v>
      </c>
      <c r="BD25" s="149" t="e">
        <f>INDEX(DB!$B$2:$AB$62,MATCH(Perf!$AL25,DB!$A$2:$A$62,0),MATCH(Perf!BD$1,DB!$B$1:$AB$1,0))</f>
        <v>#REF!</v>
      </c>
      <c r="BE25" s="149" t="e">
        <f>INDEX(DB!$B$2:$AB$62,MATCH(Perf!$AL25,DB!$A$2:$A$62,0),MATCH(Perf!BE$1,DB!$B$1:$AB$1,0))</f>
        <v>#REF!</v>
      </c>
      <c r="BF25" s="149" t="e">
        <f>INDEX(DB!$B$2:$AB$62,MATCH(Perf!$AL25,DB!$A$2:$A$62,0),MATCH(Perf!BF$1,DB!$B$1:$AB$1,0))</f>
        <v>#REF!</v>
      </c>
      <c r="BG25" s="149" t="e">
        <f>INDEX(DB!$B$2:$AB$62,MATCH(Perf!$AL25,DB!$A$2:$A$62,0),MATCH(Perf!BG$1,DB!$B$1:$AB$1,0))</f>
        <v>#REF!</v>
      </c>
      <c r="BH25" s="149" t="e">
        <f>INDEX(DB!$B$2:$AB$62,MATCH(Perf!$AL25,DB!$A$2:$A$62,0),MATCH(Perf!BH$1,DB!$B$1:$AB$1,0))</f>
        <v>#REF!</v>
      </c>
      <c r="BI25" s="149" t="e">
        <f>INDEX(DB!$B$2:$AB$62,MATCH(Perf!$AL25,DB!$A$2:$A$62,0),MATCH(Perf!BI$1,DB!$B$1:$AB$1,0))</f>
        <v>#REF!</v>
      </c>
      <c r="BJ25" s="149" t="e">
        <f t="shared" si="18"/>
        <v>#REF!</v>
      </c>
      <c r="BK25" s="149" t="e">
        <f>INDEX(DB!$B$2:$AB$62,MATCH(Perf!$AL25,DB!$A$2:$A$62,0),MATCH(Perf!BK$1,DB!$B$1:$AB$1,0))</f>
        <v>#REF!</v>
      </c>
      <c r="BL25" s="150" t="e">
        <f t="shared" si="7"/>
        <v>#REF!</v>
      </c>
      <c r="BM25" s="149" t="e">
        <f>INDEX(DB!$B$2:$AB$62,MATCH(Perf!$AL25,DB!$A$2:$A$62,0),MATCH(Perf!BM$1,DB!$B$1:$AB$1,0))</f>
        <v>#REF!</v>
      </c>
    </row>
    <row r="26" spans="1:65" x14ac:dyDescent="0.15">
      <c r="A26" s="151">
        <f t="shared" si="8"/>
        <v>44834</v>
      </c>
      <c r="B26" s="148" t="e" cm="1">
        <f t="array" ref="B26">SUMPRODUCT(TRANSPOSE(#REF!),Perf!$AM26:$BN26)/100</f>
        <v>#REF!</v>
      </c>
      <c r="C26" s="148" t="e" cm="1">
        <f t="array" ref="C26">SUMPRODUCT(TRANSPOSE(#REF!),Perf!$AM26:$BN26)/100</f>
        <v>#REF!</v>
      </c>
      <c r="D26" s="148" t="e" cm="1">
        <f t="array" ref="D26">SUMPRODUCT(TRANSPOSE(#REF!),Perf!$AM26:$BN26)/100</f>
        <v>#REF!</v>
      </c>
      <c r="E26" s="148" t="e" cm="1">
        <f t="array" ref="E26">SUMPRODUCT(TRANSPOSE(#REF!),Perf!$AM26:$BN26)/100</f>
        <v>#REF!</v>
      </c>
      <c r="F26" s="148" t="e" cm="1">
        <f t="array" ref="F26">SUMPRODUCT(TRANSPOSE(#REF!),Perf!$AM26:$BN26)/100</f>
        <v>#REF!</v>
      </c>
      <c r="G26" s="148" t="e">
        <f t="shared" si="9"/>
        <v>#REF!</v>
      </c>
      <c r="H26" s="148"/>
      <c r="I26" s="160">
        <f t="shared" si="10"/>
        <v>44804</v>
      </c>
      <c r="J26" s="148" t="e">
        <f t="shared" si="19"/>
        <v>#REF!</v>
      </c>
      <c r="K26" s="148" t="e">
        <f t="shared" si="20"/>
        <v>#REF!</v>
      </c>
      <c r="L26" s="148" t="e">
        <f t="shared" si="21"/>
        <v>#REF!</v>
      </c>
      <c r="M26" s="148" t="e">
        <f t="shared" si="22"/>
        <v>#REF!</v>
      </c>
      <c r="N26" s="148" t="e">
        <f t="shared" si="23"/>
        <v>#REF!</v>
      </c>
      <c r="O26" s="148" t="e">
        <f t="shared" si="24"/>
        <v>#REF!</v>
      </c>
      <c r="P26" s="148"/>
      <c r="Q26" s="160">
        <f t="shared" si="12"/>
        <v>44834</v>
      </c>
      <c r="R26" s="148" t="e">
        <f t="shared" si="13"/>
        <v>#REF!</v>
      </c>
      <c r="S26" s="148" t="e">
        <f t="shared" si="14"/>
        <v>#REF!</v>
      </c>
      <c r="T26" s="148" t="e">
        <f t="shared" si="15"/>
        <v>#REF!</v>
      </c>
      <c r="U26" s="148" t="e">
        <f t="shared" si="16"/>
        <v>#REF!</v>
      </c>
      <c r="V26" s="148" t="e">
        <f t="shared" si="17"/>
        <v>#REF!</v>
      </c>
      <c r="W26" s="148"/>
      <c r="X26" s="160"/>
      <c r="Y26" s="169"/>
      <c r="Z26" s="169"/>
      <c r="AA26" s="169"/>
      <c r="AB26" s="169"/>
      <c r="AC26" s="169"/>
      <c r="AD26" s="148"/>
      <c r="AE26" s="160">
        <f t="shared" si="26"/>
        <v>44834</v>
      </c>
      <c r="AF26" s="170" t="e">
        <f t="shared" si="28"/>
        <v>#REF!</v>
      </c>
      <c r="AG26" s="170" t="e">
        <f t="shared" si="29"/>
        <v>#REF!</v>
      </c>
      <c r="AH26" s="170" t="e">
        <f t="shared" si="30"/>
        <v>#REF!</v>
      </c>
      <c r="AI26" s="170" t="e">
        <f t="shared" si="31"/>
        <v>#REF!</v>
      </c>
      <c r="AJ26" s="170" t="e">
        <f t="shared" si="32"/>
        <v>#REF!</v>
      </c>
      <c r="AL26" s="151">
        <f>DB!A26</f>
        <v>44834</v>
      </c>
      <c r="AM26" s="149" t="e">
        <f>INDEX(DB!$B$2:$AB$62,MATCH(Perf!$AL26,DB!$A$2:$A$62,0),MATCH(Perf!AM$1,DB!$B$1:$AB$1,0))</f>
        <v>#REF!</v>
      </c>
      <c r="AN26" s="149" t="e">
        <f>INDEX(DB!$B$2:$AB$62,MATCH(Perf!$AL26,DB!$A$2:$A$62,0),MATCH(Perf!AN$1,DB!$B$1:$AB$1,0))</f>
        <v>#REF!</v>
      </c>
      <c r="AO26" s="149" t="e">
        <f>INDEX(DB!$B$2:$AB$62,MATCH(Perf!$AL26,DB!$A$2:$A$62,0),MATCH(Perf!AO$1,DB!$B$1:$AB$1,0))</f>
        <v>#REF!</v>
      </c>
      <c r="AP26" s="149" t="e">
        <f>INDEX(DB!$B$2:$AB$62,MATCH(Perf!$AL26,DB!$A$2:$A$62,0),MATCH(Perf!AP$1,DB!$B$1:$AB$1,0))</f>
        <v>#REF!</v>
      </c>
      <c r="AQ26" s="149" t="e">
        <f>INDEX(DB!$B$2:$AB$62,MATCH(Perf!$AL26,DB!$A$2:$A$62,0),MATCH(Perf!AQ$1,DB!$B$1:$AB$1,0))</f>
        <v>#REF!</v>
      </c>
      <c r="AR26" s="149" t="e">
        <f>INDEX(DB!$B$2:$AB$62,MATCH(Perf!$AL26,DB!$A$2:$A$62,0),MATCH(Perf!AR$1,DB!$B$1:$AB$1,0))</f>
        <v>#REF!</v>
      </c>
      <c r="AS26" s="149" t="e">
        <f>INDEX(DB!$B$2:$AB$62,MATCH(Perf!$AL26,DB!$A$2:$A$62,0),MATCH(Perf!AS$1,DB!$B$1:$AB$1,0))</f>
        <v>#REF!</v>
      </c>
      <c r="AT26" s="149" t="e">
        <f>INDEX(DB!$B$2:$AB$62,MATCH(Perf!$AL26,DB!$A$2:$A$62,0),MATCH(Perf!AT$1,DB!$B$1:$AB$1,0))</f>
        <v>#REF!</v>
      </c>
      <c r="AU26" s="149" t="e">
        <f>INDEX(DB!$B$2:$AB$62,MATCH(Perf!$AL26,DB!$A$2:$A$62,0),MATCH(Perf!AU$1,DB!$B$1:$AB$1,0))</f>
        <v>#REF!</v>
      </c>
      <c r="AV26" s="150" t="e">
        <f t="shared" si="4"/>
        <v>#REF!</v>
      </c>
      <c r="AW26" s="154" t="e">
        <f t="shared" si="4"/>
        <v>#REF!</v>
      </c>
      <c r="AX26" s="149" t="e">
        <f>INDEX(DB!$B$2:$AB$62,MATCH(Perf!$AL26,DB!$A$2:$A$62,0),MATCH(Perf!AX$1,DB!$B$1:$AB$1,0))</f>
        <v>#REF!</v>
      </c>
      <c r="AY26" s="149" t="e">
        <f>INDEX(DB!$B$2:$AB$62,MATCH(Perf!$AL26,DB!$A$2:$A$62,0),MATCH(Perf!AY$1,DB!$B$1:$AB$1,0))</f>
        <v>#REF!</v>
      </c>
      <c r="AZ26" s="149" t="e">
        <f>INDEX(DB!$B$2:$AB$62,MATCH(Perf!$AL26,DB!$A$2:$A$62,0),MATCH(Perf!AZ$1,DB!$B$1:$AB$1,0))</f>
        <v>#REF!</v>
      </c>
      <c r="BA26" s="149" t="e">
        <f>INDEX(DB!$B$2:$AB$62,MATCH(Perf!$AL26,DB!$A$2:$A$62,0),MATCH(Perf!BA$1,DB!$B$1:$AB$1,0))</f>
        <v>#REF!</v>
      </c>
      <c r="BB26" s="149" t="e">
        <f>INDEX(DB!$B$2:$AB$62,MATCH(Perf!$AL26,DB!$A$2:$A$62,0),MATCH(Perf!BB$1,DB!$B$1:$AB$1,0))</f>
        <v>#REF!</v>
      </c>
      <c r="BC26" s="149" t="e">
        <f>INDEX(DB!$B$2:$AB$62,MATCH(Perf!$AL26,DB!$A$2:$A$62,0),MATCH(Perf!BC$1,DB!$B$1:$AB$1,0))</f>
        <v>#REF!</v>
      </c>
      <c r="BD26" s="149" t="e">
        <f>INDEX(DB!$B$2:$AB$62,MATCH(Perf!$AL26,DB!$A$2:$A$62,0),MATCH(Perf!BD$1,DB!$B$1:$AB$1,0))</f>
        <v>#REF!</v>
      </c>
      <c r="BE26" s="149" t="e">
        <f>INDEX(DB!$B$2:$AB$62,MATCH(Perf!$AL26,DB!$A$2:$A$62,0),MATCH(Perf!BE$1,DB!$B$1:$AB$1,0))</f>
        <v>#REF!</v>
      </c>
      <c r="BF26" s="149" t="e">
        <f>INDEX(DB!$B$2:$AB$62,MATCH(Perf!$AL26,DB!$A$2:$A$62,0),MATCH(Perf!BF$1,DB!$B$1:$AB$1,0))</f>
        <v>#REF!</v>
      </c>
      <c r="BG26" s="149" t="e">
        <f>INDEX(DB!$B$2:$AB$62,MATCH(Perf!$AL26,DB!$A$2:$A$62,0),MATCH(Perf!BG$1,DB!$B$1:$AB$1,0))</f>
        <v>#REF!</v>
      </c>
      <c r="BH26" s="149" t="e">
        <f>INDEX(DB!$B$2:$AB$62,MATCH(Perf!$AL26,DB!$A$2:$A$62,0),MATCH(Perf!BH$1,DB!$B$1:$AB$1,0))</f>
        <v>#REF!</v>
      </c>
      <c r="BI26" s="149" t="e">
        <f>INDEX(DB!$B$2:$AB$62,MATCH(Perf!$AL26,DB!$A$2:$A$62,0),MATCH(Perf!BI$1,DB!$B$1:$AB$1,0))</f>
        <v>#REF!</v>
      </c>
      <c r="BJ26" s="149" t="e">
        <f t="shared" si="18"/>
        <v>#REF!</v>
      </c>
      <c r="BK26" s="149" t="e">
        <f>INDEX(DB!$B$2:$AB$62,MATCH(Perf!$AL26,DB!$A$2:$A$62,0),MATCH(Perf!BK$1,DB!$B$1:$AB$1,0))</f>
        <v>#REF!</v>
      </c>
      <c r="BL26" s="150" t="e">
        <f t="shared" si="7"/>
        <v>#REF!</v>
      </c>
      <c r="BM26" s="149" t="e">
        <f>INDEX(DB!$B$2:$AB$62,MATCH(Perf!$AL26,DB!$A$2:$A$62,0),MATCH(Perf!BM$1,DB!$B$1:$AB$1,0))</f>
        <v>#REF!</v>
      </c>
    </row>
    <row r="27" spans="1:65" x14ac:dyDescent="0.15">
      <c r="A27" s="151">
        <f t="shared" si="8"/>
        <v>44865</v>
      </c>
      <c r="B27" s="148" t="e" cm="1">
        <f t="array" ref="B27">SUMPRODUCT(TRANSPOSE(#REF!),Perf!$AM27:$BN27)/100</f>
        <v>#REF!</v>
      </c>
      <c r="C27" s="148" t="e" cm="1">
        <f t="array" ref="C27">SUMPRODUCT(TRANSPOSE(#REF!),Perf!$AM27:$BN27)/100</f>
        <v>#REF!</v>
      </c>
      <c r="D27" s="148" t="e" cm="1">
        <f t="array" ref="D27">SUMPRODUCT(TRANSPOSE(#REF!),Perf!$AM27:$BN27)/100</f>
        <v>#REF!</v>
      </c>
      <c r="E27" s="148" t="e" cm="1">
        <f t="array" ref="E27">SUMPRODUCT(TRANSPOSE(#REF!),Perf!$AM27:$BN27)/100</f>
        <v>#REF!</v>
      </c>
      <c r="F27" s="148" t="e" cm="1">
        <f t="array" ref="F27">SUMPRODUCT(TRANSPOSE(#REF!),Perf!$AM27:$BN27)/100</f>
        <v>#REF!</v>
      </c>
      <c r="G27" s="148" t="e">
        <f t="shared" si="9"/>
        <v>#REF!</v>
      </c>
      <c r="H27" s="148"/>
      <c r="I27" s="160">
        <f t="shared" si="10"/>
        <v>44834</v>
      </c>
      <c r="J27" s="148" t="e">
        <f t="shared" si="19"/>
        <v>#REF!</v>
      </c>
      <c r="K27" s="148" t="e">
        <f t="shared" si="20"/>
        <v>#REF!</v>
      </c>
      <c r="L27" s="148" t="e">
        <f t="shared" si="21"/>
        <v>#REF!</v>
      </c>
      <c r="M27" s="148" t="e">
        <f t="shared" si="22"/>
        <v>#REF!</v>
      </c>
      <c r="N27" s="148" t="e">
        <f t="shared" si="23"/>
        <v>#REF!</v>
      </c>
      <c r="O27" s="148" t="e">
        <f t="shared" si="24"/>
        <v>#REF!</v>
      </c>
      <c r="P27" s="148"/>
      <c r="Q27" s="160">
        <f t="shared" si="12"/>
        <v>44865</v>
      </c>
      <c r="R27" s="148" t="e">
        <f t="shared" si="13"/>
        <v>#REF!</v>
      </c>
      <c r="S27" s="148" t="e">
        <f t="shared" si="14"/>
        <v>#REF!</v>
      </c>
      <c r="T27" s="148" t="e">
        <f t="shared" si="15"/>
        <v>#REF!</v>
      </c>
      <c r="U27" s="148" t="e">
        <f t="shared" si="16"/>
        <v>#REF!</v>
      </c>
      <c r="V27" s="148" t="e">
        <f t="shared" si="17"/>
        <v>#REF!</v>
      </c>
      <c r="W27" s="148"/>
      <c r="X27" s="160"/>
      <c r="Y27" s="169"/>
      <c r="Z27" s="169"/>
      <c r="AA27" s="169"/>
      <c r="AB27" s="169"/>
      <c r="AC27" s="169"/>
      <c r="AD27" s="148"/>
      <c r="AE27" s="160">
        <f t="shared" si="26"/>
        <v>44865</v>
      </c>
      <c r="AF27" s="170" t="e">
        <f t="shared" si="28"/>
        <v>#REF!</v>
      </c>
      <c r="AG27" s="170" t="e">
        <f t="shared" si="29"/>
        <v>#REF!</v>
      </c>
      <c r="AH27" s="170" t="e">
        <f t="shared" si="30"/>
        <v>#REF!</v>
      </c>
      <c r="AI27" s="170" t="e">
        <f t="shared" si="31"/>
        <v>#REF!</v>
      </c>
      <c r="AJ27" s="170" t="e">
        <f t="shared" si="32"/>
        <v>#REF!</v>
      </c>
      <c r="AL27" s="151">
        <f>DB!A27</f>
        <v>44865</v>
      </c>
      <c r="AM27" s="149" t="e">
        <f>INDEX(DB!$B$2:$AB$62,MATCH(Perf!$AL27,DB!$A$2:$A$62,0),MATCH(Perf!AM$1,DB!$B$1:$AB$1,0))</f>
        <v>#REF!</v>
      </c>
      <c r="AN27" s="149" t="e">
        <f>INDEX(DB!$B$2:$AB$62,MATCH(Perf!$AL27,DB!$A$2:$A$62,0),MATCH(Perf!AN$1,DB!$B$1:$AB$1,0))</f>
        <v>#REF!</v>
      </c>
      <c r="AO27" s="149" t="e">
        <f>INDEX(DB!$B$2:$AB$62,MATCH(Perf!$AL27,DB!$A$2:$A$62,0),MATCH(Perf!AO$1,DB!$B$1:$AB$1,0))</f>
        <v>#REF!</v>
      </c>
      <c r="AP27" s="149" t="e">
        <f>INDEX(DB!$B$2:$AB$62,MATCH(Perf!$AL27,DB!$A$2:$A$62,0),MATCH(Perf!AP$1,DB!$B$1:$AB$1,0))</f>
        <v>#REF!</v>
      </c>
      <c r="AQ27" s="149" t="e">
        <f>INDEX(DB!$B$2:$AB$62,MATCH(Perf!$AL27,DB!$A$2:$A$62,0),MATCH(Perf!AQ$1,DB!$B$1:$AB$1,0))</f>
        <v>#REF!</v>
      </c>
      <c r="AR27" s="149" t="e">
        <f>INDEX(DB!$B$2:$AB$62,MATCH(Perf!$AL27,DB!$A$2:$A$62,0),MATCH(Perf!AR$1,DB!$B$1:$AB$1,0))</f>
        <v>#REF!</v>
      </c>
      <c r="AS27" s="149" t="e">
        <f>INDEX(DB!$B$2:$AB$62,MATCH(Perf!$AL27,DB!$A$2:$A$62,0),MATCH(Perf!AS$1,DB!$B$1:$AB$1,0))</f>
        <v>#REF!</v>
      </c>
      <c r="AT27" s="149" t="e">
        <f>INDEX(DB!$B$2:$AB$62,MATCH(Perf!$AL27,DB!$A$2:$A$62,0),MATCH(Perf!AT$1,DB!$B$1:$AB$1,0))</f>
        <v>#REF!</v>
      </c>
      <c r="AU27" s="149" t="e">
        <f>INDEX(DB!$B$2:$AB$62,MATCH(Perf!$AL27,DB!$A$2:$A$62,0),MATCH(Perf!AU$1,DB!$B$1:$AB$1,0))</f>
        <v>#REF!</v>
      </c>
      <c r="AV27" s="150" t="e">
        <f t="shared" si="4"/>
        <v>#REF!</v>
      </c>
      <c r="AW27" s="154" t="e">
        <f t="shared" si="4"/>
        <v>#REF!</v>
      </c>
      <c r="AX27" s="149" t="e">
        <f>INDEX(DB!$B$2:$AB$62,MATCH(Perf!$AL27,DB!$A$2:$A$62,0),MATCH(Perf!AX$1,DB!$B$1:$AB$1,0))</f>
        <v>#REF!</v>
      </c>
      <c r="AY27" s="149" t="e">
        <f>INDEX(DB!$B$2:$AB$62,MATCH(Perf!$AL27,DB!$A$2:$A$62,0),MATCH(Perf!AY$1,DB!$B$1:$AB$1,0))</f>
        <v>#REF!</v>
      </c>
      <c r="AZ27" s="149" t="e">
        <f>INDEX(DB!$B$2:$AB$62,MATCH(Perf!$AL27,DB!$A$2:$A$62,0),MATCH(Perf!AZ$1,DB!$B$1:$AB$1,0))</f>
        <v>#REF!</v>
      </c>
      <c r="BA27" s="149" t="e">
        <f>INDEX(DB!$B$2:$AB$62,MATCH(Perf!$AL27,DB!$A$2:$A$62,0),MATCH(Perf!BA$1,DB!$B$1:$AB$1,0))</f>
        <v>#REF!</v>
      </c>
      <c r="BB27" s="149" t="e">
        <f>INDEX(DB!$B$2:$AB$62,MATCH(Perf!$AL27,DB!$A$2:$A$62,0),MATCH(Perf!BB$1,DB!$B$1:$AB$1,0))</f>
        <v>#REF!</v>
      </c>
      <c r="BC27" s="149" t="e">
        <f>INDEX(DB!$B$2:$AB$62,MATCH(Perf!$AL27,DB!$A$2:$A$62,0),MATCH(Perf!BC$1,DB!$B$1:$AB$1,0))</f>
        <v>#REF!</v>
      </c>
      <c r="BD27" s="149" t="e">
        <f>INDEX(DB!$B$2:$AB$62,MATCH(Perf!$AL27,DB!$A$2:$A$62,0),MATCH(Perf!BD$1,DB!$B$1:$AB$1,0))</f>
        <v>#REF!</v>
      </c>
      <c r="BE27" s="149" t="e">
        <f>INDEX(DB!$B$2:$AB$62,MATCH(Perf!$AL27,DB!$A$2:$A$62,0),MATCH(Perf!BE$1,DB!$B$1:$AB$1,0))</f>
        <v>#REF!</v>
      </c>
      <c r="BF27" s="149" t="e">
        <f>INDEX(DB!$B$2:$AB$62,MATCH(Perf!$AL27,DB!$A$2:$A$62,0),MATCH(Perf!BF$1,DB!$B$1:$AB$1,0))</f>
        <v>#REF!</v>
      </c>
      <c r="BG27" s="149" t="e">
        <f>INDEX(DB!$B$2:$AB$62,MATCH(Perf!$AL27,DB!$A$2:$A$62,0),MATCH(Perf!BG$1,DB!$B$1:$AB$1,0))</f>
        <v>#REF!</v>
      </c>
      <c r="BH27" s="149" t="e">
        <f>INDEX(DB!$B$2:$AB$62,MATCH(Perf!$AL27,DB!$A$2:$A$62,0),MATCH(Perf!BH$1,DB!$B$1:$AB$1,0))</f>
        <v>#REF!</v>
      </c>
      <c r="BI27" s="149" t="e">
        <f>INDEX(DB!$B$2:$AB$62,MATCH(Perf!$AL27,DB!$A$2:$A$62,0),MATCH(Perf!BI$1,DB!$B$1:$AB$1,0))</f>
        <v>#REF!</v>
      </c>
      <c r="BJ27" s="149" t="e">
        <f t="shared" si="18"/>
        <v>#REF!</v>
      </c>
      <c r="BK27" s="149" t="e">
        <f>INDEX(DB!$B$2:$AB$62,MATCH(Perf!$AL27,DB!$A$2:$A$62,0),MATCH(Perf!BK$1,DB!$B$1:$AB$1,0))</f>
        <v>#REF!</v>
      </c>
      <c r="BL27" s="150" t="e">
        <f t="shared" si="7"/>
        <v>#REF!</v>
      </c>
      <c r="BM27" s="149" t="e">
        <f>INDEX(DB!$B$2:$AB$62,MATCH(Perf!$AL27,DB!$A$2:$A$62,0),MATCH(Perf!BM$1,DB!$B$1:$AB$1,0))</f>
        <v>#REF!</v>
      </c>
    </row>
    <row r="28" spans="1:65" x14ac:dyDescent="0.15">
      <c r="A28" s="151">
        <f t="shared" si="8"/>
        <v>44895</v>
      </c>
      <c r="B28" s="148" t="e" cm="1">
        <f t="array" ref="B28">SUMPRODUCT(TRANSPOSE(#REF!),Perf!$AM28:$BN28)/100</f>
        <v>#REF!</v>
      </c>
      <c r="C28" s="148" t="e" cm="1">
        <f t="array" ref="C28">SUMPRODUCT(TRANSPOSE(#REF!),Perf!$AM28:$BN28)/100</f>
        <v>#REF!</v>
      </c>
      <c r="D28" s="148" t="e" cm="1">
        <f t="array" ref="D28">SUMPRODUCT(TRANSPOSE(#REF!),Perf!$AM28:$BN28)/100</f>
        <v>#REF!</v>
      </c>
      <c r="E28" s="148" t="e" cm="1">
        <f t="array" ref="E28">SUMPRODUCT(TRANSPOSE(#REF!),Perf!$AM28:$BN28)/100</f>
        <v>#REF!</v>
      </c>
      <c r="F28" s="148" t="e" cm="1">
        <f t="array" ref="F28">SUMPRODUCT(TRANSPOSE(#REF!),Perf!$AM28:$BN28)/100</f>
        <v>#REF!</v>
      </c>
      <c r="G28" s="148" t="e">
        <f t="shared" si="9"/>
        <v>#REF!</v>
      </c>
      <c r="H28" s="148"/>
      <c r="I28" s="160">
        <f t="shared" si="10"/>
        <v>44865</v>
      </c>
      <c r="J28" s="148" t="e">
        <f t="shared" si="19"/>
        <v>#REF!</v>
      </c>
      <c r="K28" s="148" t="e">
        <f t="shared" si="20"/>
        <v>#REF!</v>
      </c>
      <c r="L28" s="148" t="e">
        <f t="shared" si="21"/>
        <v>#REF!</v>
      </c>
      <c r="M28" s="148" t="e">
        <f t="shared" si="22"/>
        <v>#REF!</v>
      </c>
      <c r="N28" s="148" t="e">
        <f t="shared" si="23"/>
        <v>#REF!</v>
      </c>
      <c r="O28" s="148" t="e">
        <f t="shared" si="24"/>
        <v>#REF!</v>
      </c>
      <c r="P28" s="148"/>
      <c r="Q28" s="160">
        <f t="shared" si="12"/>
        <v>44895</v>
      </c>
      <c r="R28" s="148" t="e">
        <f t="shared" si="13"/>
        <v>#REF!</v>
      </c>
      <c r="S28" s="148" t="e">
        <f t="shared" si="14"/>
        <v>#REF!</v>
      </c>
      <c r="T28" s="148" t="e">
        <f t="shared" si="15"/>
        <v>#REF!</v>
      </c>
      <c r="U28" s="148" t="e">
        <f t="shared" si="16"/>
        <v>#REF!</v>
      </c>
      <c r="V28" s="148" t="e">
        <f t="shared" si="17"/>
        <v>#REF!</v>
      </c>
      <c r="W28" s="148"/>
      <c r="X28" s="160"/>
      <c r="Y28" s="169"/>
      <c r="Z28" s="169"/>
      <c r="AA28" s="169"/>
      <c r="AB28" s="169"/>
      <c r="AC28" s="169"/>
      <c r="AD28" s="148"/>
      <c r="AE28" s="160">
        <f t="shared" si="26"/>
        <v>44895</v>
      </c>
      <c r="AF28" s="170" t="e">
        <f t="shared" si="28"/>
        <v>#REF!</v>
      </c>
      <c r="AG28" s="170" t="e">
        <f t="shared" si="29"/>
        <v>#REF!</v>
      </c>
      <c r="AH28" s="170" t="e">
        <f t="shared" si="30"/>
        <v>#REF!</v>
      </c>
      <c r="AI28" s="170" t="e">
        <f t="shared" si="31"/>
        <v>#REF!</v>
      </c>
      <c r="AJ28" s="170" t="e">
        <f t="shared" si="32"/>
        <v>#REF!</v>
      </c>
      <c r="AL28" s="151">
        <f>DB!A28</f>
        <v>44895</v>
      </c>
      <c r="AM28" s="149" t="e">
        <f>INDEX(DB!$B$2:$AB$62,MATCH(Perf!$AL28,DB!$A$2:$A$62,0),MATCH(Perf!AM$1,DB!$B$1:$AB$1,0))</f>
        <v>#REF!</v>
      </c>
      <c r="AN28" s="149" t="e">
        <f>INDEX(DB!$B$2:$AB$62,MATCH(Perf!$AL28,DB!$A$2:$A$62,0),MATCH(Perf!AN$1,DB!$B$1:$AB$1,0))</f>
        <v>#REF!</v>
      </c>
      <c r="AO28" s="149" t="e">
        <f>INDEX(DB!$B$2:$AB$62,MATCH(Perf!$AL28,DB!$A$2:$A$62,0),MATCH(Perf!AO$1,DB!$B$1:$AB$1,0))</f>
        <v>#REF!</v>
      </c>
      <c r="AP28" s="149" t="e">
        <f>INDEX(DB!$B$2:$AB$62,MATCH(Perf!$AL28,DB!$A$2:$A$62,0),MATCH(Perf!AP$1,DB!$B$1:$AB$1,0))</f>
        <v>#REF!</v>
      </c>
      <c r="AQ28" s="149" t="e">
        <f>INDEX(DB!$B$2:$AB$62,MATCH(Perf!$AL28,DB!$A$2:$A$62,0),MATCH(Perf!AQ$1,DB!$B$1:$AB$1,0))</f>
        <v>#REF!</v>
      </c>
      <c r="AR28" s="149" t="e">
        <f>INDEX(DB!$B$2:$AB$62,MATCH(Perf!$AL28,DB!$A$2:$A$62,0),MATCH(Perf!AR$1,DB!$B$1:$AB$1,0))</f>
        <v>#REF!</v>
      </c>
      <c r="AS28" s="149" t="e">
        <f>INDEX(DB!$B$2:$AB$62,MATCH(Perf!$AL28,DB!$A$2:$A$62,0),MATCH(Perf!AS$1,DB!$B$1:$AB$1,0))</f>
        <v>#REF!</v>
      </c>
      <c r="AT28" s="149" t="e">
        <f>INDEX(DB!$B$2:$AB$62,MATCH(Perf!$AL28,DB!$A$2:$A$62,0),MATCH(Perf!AT$1,DB!$B$1:$AB$1,0))</f>
        <v>#REF!</v>
      </c>
      <c r="AU28" s="149" t="e">
        <f>INDEX(DB!$B$2:$AB$62,MATCH(Perf!$AL28,DB!$A$2:$A$62,0),MATCH(Perf!AU$1,DB!$B$1:$AB$1,0))</f>
        <v>#REF!</v>
      </c>
      <c r="AV28" s="150" t="e">
        <f t="shared" si="4"/>
        <v>#REF!</v>
      </c>
      <c r="AW28" s="149" t="e">
        <f>INDEX(DB!$B$2:$AB$62,MATCH(Perf!$AL28,DB!$A$2:$A$62,0),MATCH(Perf!AW$1,DB!$B$1:$AB$1,0))</f>
        <v>#REF!</v>
      </c>
      <c r="AX28" s="149" t="e">
        <f>INDEX(DB!$B$2:$AB$62,MATCH(Perf!$AL28,DB!$A$2:$A$62,0),MATCH(Perf!AX$1,DB!$B$1:$AB$1,0))</f>
        <v>#REF!</v>
      </c>
      <c r="AY28" s="149" t="e">
        <f>INDEX(DB!$B$2:$AB$62,MATCH(Perf!$AL28,DB!$A$2:$A$62,0),MATCH(Perf!AY$1,DB!$B$1:$AB$1,0))</f>
        <v>#REF!</v>
      </c>
      <c r="AZ28" s="149" t="e">
        <f>INDEX(DB!$B$2:$AB$62,MATCH(Perf!$AL28,DB!$A$2:$A$62,0),MATCH(Perf!AZ$1,DB!$B$1:$AB$1,0))</f>
        <v>#REF!</v>
      </c>
      <c r="BA28" s="149" t="e">
        <f>INDEX(DB!$B$2:$AB$62,MATCH(Perf!$AL28,DB!$A$2:$A$62,0),MATCH(Perf!BA$1,DB!$B$1:$AB$1,0))</f>
        <v>#REF!</v>
      </c>
      <c r="BB28" s="149" t="e">
        <f>INDEX(DB!$B$2:$AB$62,MATCH(Perf!$AL28,DB!$A$2:$A$62,0),MATCH(Perf!BB$1,DB!$B$1:$AB$1,0))</f>
        <v>#REF!</v>
      </c>
      <c r="BC28" s="149" t="e">
        <f>INDEX(DB!$B$2:$AB$62,MATCH(Perf!$AL28,DB!$A$2:$A$62,0),MATCH(Perf!BC$1,DB!$B$1:$AB$1,0))</f>
        <v>#REF!</v>
      </c>
      <c r="BD28" s="149" t="e">
        <f>INDEX(DB!$B$2:$AB$62,MATCH(Perf!$AL28,DB!$A$2:$A$62,0),MATCH(Perf!BD$1,DB!$B$1:$AB$1,0))</f>
        <v>#REF!</v>
      </c>
      <c r="BE28" s="149" t="e">
        <f>INDEX(DB!$B$2:$AB$62,MATCH(Perf!$AL28,DB!$A$2:$A$62,0),MATCH(Perf!BE$1,DB!$B$1:$AB$1,0))</f>
        <v>#REF!</v>
      </c>
      <c r="BF28" s="149" t="e">
        <f>INDEX(DB!$B$2:$AB$62,MATCH(Perf!$AL28,DB!$A$2:$A$62,0),MATCH(Perf!BF$1,DB!$B$1:$AB$1,0))</f>
        <v>#REF!</v>
      </c>
      <c r="BG28" s="149" t="e">
        <f>INDEX(DB!$B$2:$AB$62,MATCH(Perf!$AL28,DB!$A$2:$A$62,0),MATCH(Perf!BG$1,DB!$B$1:$AB$1,0))</f>
        <v>#REF!</v>
      </c>
      <c r="BH28" s="149" t="e">
        <f>INDEX(DB!$B$2:$AB$62,MATCH(Perf!$AL28,DB!$A$2:$A$62,0),MATCH(Perf!BH$1,DB!$B$1:$AB$1,0))</f>
        <v>#REF!</v>
      </c>
      <c r="BI28" s="149" t="e">
        <f>INDEX(DB!$B$2:$AB$62,MATCH(Perf!$AL28,DB!$A$2:$A$62,0),MATCH(Perf!BI$1,DB!$B$1:$AB$1,0))</f>
        <v>#REF!</v>
      </c>
      <c r="BJ28" s="149" t="e">
        <f t="shared" si="18"/>
        <v>#REF!</v>
      </c>
      <c r="BK28" s="149" t="e">
        <f>INDEX(DB!$B$2:$AB$62,MATCH(Perf!$AL28,DB!$A$2:$A$62,0),MATCH(Perf!BK$1,DB!$B$1:$AB$1,0))</f>
        <v>#REF!</v>
      </c>
      <c r="BL28" s="150" t="e">
        <f>BF28</f>
        <v>#REF!</v>
      </c>
      <c r="BM28" s="149" t="e">
        <f>INDEX(DB!$B$2:$AB$62,MATCH(Perf!$AL28,DB!$A$2:$A$62,0),MATCH(Perf!BM$1,DB!$B$1:$AB$1,0))</f>
        <v>#REF!</v>
      </c>
    </row>
    <row r="29" spans="1:65" x14ac:dyDescent="0.15">
      <c r="A29" s="151">
        <f t="shared" si="8"/>
        <v>44926</v>
      </c>
      <c r="B29" s="148" t="e" cm="1">
        <f t="array" ref="B29">SUMPRODUCT(TRANSPOSE(#REF!),Perf!$AM29:$BN29)/100</f>
        <v>#REF!</v>
      </c>
      <c r="C29" s="148" t="e" cm="1">
        <f t="array" ref="C29">SUMPRODUCT(TRANSPOSE(#REF!),Perf!$AM29:$BN29)/100</f>
        <v>#REF!</v>
      </c>
      <c r="D29" s="148" t="e" cm="1">
        <f t="array" ref="D29">SUMPRODUCT(TRANSPOSE(#REF!),Perf!$AM29:$BN29)/100</f>
        <v>#REF!</v>
      </c>
      <c r="E29" s="148" t="e" cm="1">
        <f t="array" ref="E29">SUMPRODUCT(TRANSPOSE(#REF!),Perf!$AM29:$BN29)/100</f>
        <v>#REF!</v>
      </c>
      <c r="F29" s="148" t="e" cm="1">
        <f t="array" ref="F29">SUMPRODUCT(TRANSPOSE(#REF!),Perf!$AM29:$BN29)/100</f>
        <v>#REF!</v>
      </c>
      <c r="G29" s="148" t="e">
        <f t="shared" si="9"/>
        <v>#REF!</v>
      </c>
      <c r="H29" s="148"/>
      <c r="I29" s="160">
        <f t="shared" si="10"/>
        <v>44895</v>
      </c>
      <c r="J29" s="148" t="e">
        <f t="shared" si="19"/>
        <v>#REF!</v>
      </c>
      <c r="K29" s="148" t="e">
        <f t="shared" si="20"/>
        <v>#REF!</v>
      </c>
      <c r="L29" s="148" t="e">
        <f t="shared" si="21"/>
        <v>#REF!</v>
      </c>
      <c r="M29" s="148" t="e">
        <f t="shared" si="22"/>
        <v>#REF!</v>
      </c>
      <c r="N29" s="148" t="e">
        <f t="shared" si="23"/>
        <v>#REF!</v>
      </c>
      <c r="O29" s="148" t="e">
        <f t="shared" si="24"/>
        <v>#REF!</v>
      </c>
      <c r="P29" s="148"/>
      <c r="Q29" s="160">
        <f t="shared" si="12"/>
        <v>44926</v>
      </c>
      <c r="R29" s="148" t="e">
        <f t="shared" si="13"/>
        <v>#REF!</v>
      </c>
      <c r="S29" s="148" t="e">
        <f t="shared" si="14"/>
        <v>#REF!</v>
      </c>
      <c r="T29" s="148" t="e">
        <f t="shared" si="15"/>
        <v>#REF!</v>
      </c>
      <c r="U29" s="148" t="e">
        <f t="shared" si="16"/>
        <v>#REF!</v>
      </c>
      <c r="V29" s="148" t="e">
        <f t="shared" si="17"/>
        <v>#REF!</v>
      </c>
      <c r="W29" s="148"/>
      <c r="X29" s="160"/>
      <c r="Y29" s="169"/>
      <c r="Z29" s="169"/>
      <c r="AA29" s="169"/>
      <c r="AB29" s="169"/>
      <c r="AC29" s="169"/>
      <c r="AD29" s="148"/>
      <c r="AE29" s="160">
        <f t="shared" si="26"/>
        <v>44926</v>
      </c>
      <c r="AF29" s="170" t="e">
        <f t="shared" si="28"/>
        <v>#REF!</v>
      </c>
      <c r="AG29" s="170" t="e">
        <f t="shared" si="29"/>
        <v>#REF!</v>
      </c>
      <c r="AH29" s="170" t="e">
        <f t="shared" si="30"/>
        <v>#REF!</v>
      </c>
      <c r="AI29" s="170" t="e">
        <f t="shared" si="31"/>
        <v>#REF!</v>
      </c>
      <c r="AJ29" s="170" t="e">
        <f t="shared" si="32"/>
        <v>#REF!</v>
      </c>
      <c r="AL29" s="151">
        <f>DB!A29</f>
        <v>44926</v>
      </c>
      <c r="AM29" s="149" t="e">
        <f>INDEX(DB!$B$2:$AB$62,MATCH(Perf!$AL29,DB!$A$2:$A$62,0),MATCH(Perf!AM$1,DB!$B$1:$AB$1,0))</f>
        <v>#REF!</v>
      </c>
      <c r="AN29" s="149" t="e">
        <f>INDEX(DB!$B$2:$AB$62,MATCH(Perf!$AL29,DB!$A$2:$A$62,0),MATCH(Perf!AN$1,DB!$B$1:$AB$1,0))</f>
        <v>#REF!</v>
      </c>
      <c r="AO29" s="149" t="e">
        <f>INDEX(DB!$B$2:$AB$62,MATCH(Perf!$AL29,DB!$A$2:$A$62,0),MATCH(Perf!AO$1,DB!$B$1:$AB$1,0))</f>
        <v>#REF!</v>
      </c>
      <c r="AP29" s="149" t="e">
        <f>INDEX(DB!$B$2:$AB$62,MATCH(Perf!$AL29,DB!$A$2:$A$62,0),MATCH(Perf!AP$1,DB!$B$1:$AB$1,0))</f>
        <v>#REF!</v>
      </c>
      <c r="AQ29" s="149" t="e">
        <f>INDEX(DB!$B$2:$AB$62,MATCH(Perf!$AL29,DB!$A$2:$A$62,0),MATCH(Perf!AQ$1,DB!$B$1:$AB$1,0))</f>
        <v>#REF!</v>
      </c>
      <c r="AR29" s="149" t="e">
        <f>INDEX(DB!$B$2:$AB$62,MATCH(Perf!$AL29,DB!$A$2:$A$62,0),MATCH(Perf!AR$1,DB!$B$1:$AB$1,0))</f>
        <v>#REF!</v>
      </c>
      <c r="AS29" s="149" t="e">
        <f>INDEX(DB!$B$2:$AB$62,MATCH(Perf!$AL29,DB!$A$2:$A$62,0),MATCH(Perf!AS$1,DB!$B$1:$AB$1,0))</f>
        <v>#REF!</v>
      </c>
      <c r="AT29" s="149" t="e">
        <f>INDEX(DB!$B$2:$AB$62,MATCH(Perf!$AL29,DB!$A$2:$A$62,0),MATCH(Perf!AT$1,DB!$B$1:$AB$1,0))</f>
        <v>#REF!</v>
      </c>
      <c r="AU29" s="149" t="e">
        <f>INDEX(DB!$B$2:$AB$62,MATCH(Perf!$AL29,DB!$A$2:$A$62,0),MATCH(Perf!AU$1,DB!$B$1:$AB$1,0))</f>
        <v>#REF!</v>
      </c>
      <c r="AV29" s="150" t="e">
        <f t="shared" si="4"/>
        <v>#REF!</v>
      </c>
      <c r="AW29" s="149" t="e">
        <f>INDEX(DB!$B$2:$AB$62,MATCH(Perf!$AL29,DB!$A$2:$A$62,0),MATCH(Perf!AW$1,DB!$B$1:$AB$1,0))</f>
        <v>#REF!</v>
      </c>
      <c r="AX29" s="149" t="e">
        <f>INDEX(DB!$B$2:$AB$62,MATCH(Perf!$AL29,DB!$A$2:$A$62,0),MATCH(Perf!AX$1,DB!$B$1:$AB$1,0))</f>
        <v>#REF!</v>
      </c>
      <c r="AY29" s="149" t="e">
        <f>INDEX(DB!$B$2:$AB$62,MATCH(Perf!$AL29,DB!$A$2:$A$62,0),MATCH(Perf!AY$1,DB!$B$1:$AB$1,0))</f>
        <v>#REF!</v>
      </c>
      <c r="AZ29" s="149" t="e">
        <f>INDEX(DB!$B$2:$AB$62,MATCH(Perf!$AL29,DB!$A$2:$A$62,0),MATCH(Perf!AZ$1,DB!$B$1:$AB$1,0))</f>
        <v>#REF!</v>
      </c>
      <c r="BA29" s="149" t="e">
        <f>INDEX(DB!$B$2:$AB$62,MATCH(Perf!$AL29,DB!$A$2:$A$62,0),MATCH(Perf!BA$1,DB!$B$1:$AB$1,0))</f>
        <v>#REF!</v>
      </c>
      <c r="BB29" s="149" t="e">
        <f>INDEX(DB!$B$2:$AB$62,MATCH(Perf!$AL29,DB!$A$2:$A$62,0),MATCH(Perf!BB$1,DB!$B$1:$AB$1,0))</f>
        <v>#REF!</v>
      </c>
      <c r="BC29" s="149" t="e">
        <f>INDEX(DB!$B$2:$AB$62,MATCH(Perf!$AL29,DB!$A$2:$A$62,0),MATCH(Perf!BC$1,DB!$B$1:$AB$1,0))</f>
        <v>#REF!</v>
      </c>
      <c r="BD29" s="149" t="e">
        <f>INDEX(DB!$B$2:$AB$62,MATCH(Perf!$AL29,DB!$A$2:$A$62,0),MATCH(Perf!BD$1,DB!$B$1:$AB$1,0))</f>
        <v>#REF!</v>
      </c>
      <c r="BE29" s="149" t="e">
        <f>INDEX(DB!$B$2:$AB$62,MATCH(Perf!$AL29,DB!$A$2:$A$62,0),MATCH(Perf!BE$1,DB!$B$1:$AB$1,0))</f>
        <v>#REF!</v>
      </c>
      <c r="BF29" s="149" t="e">
        <f>INDEX(DB!$B$2:$AB$62,MATCH(Perf!$AL29,DB!$A$2:$A$62,0),MATCH(Perf!BF$1,DB!$B$1:$AB$1,0))</f>
        <v>#REF!</v>
      </c>
      <c r="BG29" s="149" t="e">
        <f>INDEX(DB!$B$2:$AB$62,MATCH(Perf!$AL29,DB!$A$2:$A$62,0),MATCH(Perf!BG$1,DB!$B$1:$AB$1,0))</f>
        <v>#REF!</v>
      </c>
      <c r="BH29" s="149" t="e">
        <f>INDEX(DB!$B$2:$AB$62,MATCH(Perf!$AL29,DB!$A$2:$A$62,0),MATCH(Perf!BH$1,DB!$B$1:$AB$1,0))</f>
        <v>#REF!</v>
      </c>
      <c r="BI29" s="149" t="e">
        <f>INDEX(DB!$B$2:$AB$62,MATCH(Perf!$AL29,DB!$A$2:$A$62,0),MATCH(Perf!BI$1,DB!$B$1:$AB$1,0))</f>
        <v>#REF!</v>
      </c>
      <c r="BJ29" s="149" t="e">
        <f t="shared" si="18"/>
        <v>#REF!</v>
      </c>
      <c r="BK29" s="149" t="e">
        <f>INDEX(DB!$B$2:$AB$62,MATCH(Perf!$AL29,DB!$A$2:$A$62,0),MATCH(Perf!BK$1,DB!$B$1:$AB$1,0))</f>
        <v>#REF!</v>
      </c>
      <c r="BL29" s="149" t="e">
        <f>INDEX(DB!$B$2:$AB$62,MATCH(Perf!$AL29,DB!$A$2:$A$62,0),MATCH(Perf!BL$1,DB!$B$1:$AB$1,0))</f>
        <v>#REF!</v>
      </c>
      <c r="BM29" s="149" t="e">
        <f>INDEX(DB!$B$2:$AB$62,MATCH(Perf!$AL29,DB!$A$2:$A$62,0),MATCH(Perf!BM$1,DB!$B$1:$AB$1,0))</f>
        <v>#REF!</v>
      </c>
    </row>
    <row r="30" spans="1:65" x14ac:dyDescent="0.15">
      <c r="A30" s="151">
        <f t="shared" si="8"/>
        <v>44957</v>
      </c>
      <c r="B30" s="148" t="e" cm="1">
        <f t="array" ref="B30">SUMPRODUCT(TRANSPOSE(#REF!),Perf!$AM30:$BN30)/100</f>
        <v>#REF!</v>
      </c>
      <c r="C30" s="148" t="e" cm="1">
        <f t="array" ref="C30">SUMPRODUCT(TRANSPOSE(#REF!),Perf!$AM30:$BN30)/100</f>
        <v>#REF!</v>
      </c>
      <c r="D30" s="148" t="e" cm="1">
        <f t="array" ref="D30">SUMPRODUCT(TRANSPOSE(#REF!),Perf!$AM30:$BN30)/100</f>
        <v>#REF!</v>
      </c>
      <c r="E30" s="148" t="e" cm="1">
        <f t="array" ref="E30">SUMPRODUCT(TRANSPOSE(#REF!),Perf!$AM30:$BN30)/100</f>
        <v>#REF!</v>
      </c>
      <c r="F30" s="148" t="e" cm="1">
        <f t="array" ref="F30">SUMPRODUCT(TRANSPOSE(#REF!),Perf!$AM30:$BN30)/100</f>
        <v>#REF!</v>
      </c>
      <c r="G30" s="148" t="e">
        <f t="shared" si="9"/>
        <v>#REF!</v>
      </c>
      <c r="H30" s="148"/>
      <c r="I30" s="160">
        <f t="shared" si="10"/>
        <v>44926</v>
      </c>
      <c r="J30" s="148" t="e">
        <f t="shared" si="19"/>
        <v>#REF!</v>
      </c>
      <c r="K30" s="148" t="e">
        <f t="shared" si="20"/>
        <v>#REF!</v>
      </c>
      <c r="L30" s="148" t="e">
        <f t="shared" si="21"/>
        <v>#REF!</v>
      </c>
      <c r="M30" s="148" t="e">
        <f t="shared" si="22"/>
        <v>#REF!</v>
      </c>
      <c r="N30" s="148" t="e">
        <f t="shared" si="23"/>
        <v>#REF!</v>
      </c>
      <c r="O30" s="148" t="e">
        <f t="shared" si="24"/>
        <v>#REF!</v>
      </c>
      <c r="P30" s="148"/>
      <c r="Q30" s="160">
        <f t="shared" si="12"/>
        <v>44957</v>
      </c>
      <c r="R30" s="148" t="e">
        <f t="shared" si="13"/>
        <v>#REF!</v>
      </c>
      <c r="S30" s="148" t="e">
        <f t="shared" si="14"/>
        <v>#REF!</v>
      </c>
      <c r="T30" s="148" t="e">
        <f t="shared" si="15"/>
        <v>#REF!</v>
      </c>
      <c r="U30" s="148" t="e">
        <f t="shared" si="16"/>
        <v>#REF!</v>
      </c>
      <c r="V30" s="148" t="e">
        <f t="shared" si="17"/>
        <v>#REF!</v>
      </c>
      <c r="W30" s="148"/>
      <c r="X30" s="160"/>
      <c r="Y30" s="169"/>
      <c r="Z30" s="169"/>
      <c r="AA30" s="169"/>
      <c r="AB30" s="169"/>
      <c r="AC30" s="169"/>
      <c r="AD30" s="148"/>
      <c r="AE30" s="160">
        <f t="shared" si="26"/>
        <v>44957</v>
      </c>
      <c r="AF30" s="170" t="e">
        <f t="shared" si="28"/>
        <v>#REF!</v>
      </c>
      <c r="AG30" s="170" t="e">
        <f t="shared" si="29"/>
        <v>#REF!</v>
      </c>
      <c r="AH30" s="170" t="e">
        <f t="shared" si="30"/>
        <v>#REF!</v>
      </c>
      <c r="AI30" s="170" t="e">
        <f t="shared" si="31"/>
        <v>#REF!</v>
      </c>
      <c r="AJ30" s="170" t="e">
        <f t="shared" si="32"/>
        <v>#REF!</v>
      </c>
      <c r="AL30" s="151">
        <f>DB!A30</f>
        <v>44957</v>
      </c>
      <c r="AM30" s="149" t="e">
        <f>INDEX(DB!$B$2:$AB$62,MATCH(Perf!$AL30,DB!$A$2:$A$62,0),MATCH(Perf!AM$1,DB!$B$1:$AB$1,0))</f>
        <v>#REF!</v>
      </c>
      <c r="AN30" s="149" t="e">
        <f>INDEX(DB!$B$2:$AB$62,MATCH(Perf!$AL30,DB!$A$2:$A$62,0),MATCH(Perf!AN$1,DB!$B$1:$AB$1,0))</f>
        <v>#REF!</v>
      </c>
      <c r="AO30" s="149" t="e">
        <f>INDEX(DB!$B$2:$AB$62,MATCH(Perf!$AL30,DB!$A$2:$A$62,0),MATCH(Perf!AO$1,DB!$B$1:$AB$1,0))</f>
        <v>#REF!</v>
      </c>
      <c r="AP30" s="149" t="e">
        <f>INDEX(DB!$B$2:$AB$62,MATCH(Perf!$AL30,DB!$A$2:$A$62,0),MATCH(Perf!AP$1,DB!$B$1:$AB$1,0))</f>
        <v>#REF!</v>
      </c>
      <c r="AQ30" s="149" t="e">
        <f>INDEX(DB!$B$2:$AB$62,MATCH(Perf!$AL30,DB!$A$2:$A$62,0),MATCH(Perf!AQ$1,DB!$B$1:$AB$1,0))</f>
        <v>#REF!</v>
      </c>
      <c r="AR30" s="149" t="e">
        <f>INDEX(DB!$B$2:$AB$62,MATCH(Perf!$AL30,DB!$A$2:$A$62,0),MATCH(Perf!AR$1,DB!$B$1:$AB$1,0))</f>
        <v>#REF!</v>
      </c>
      <c r="AS30" s="149" t="e">
        <f>INDEX(DB!$B$2:$AB$62,MATCH(Perf!$AL30,DB!$A$2:$A$62,0),MATCH(Perf!AS$1,DB!$B$1:$AB$1,0))</f>
        <v>#REF!</v>
      </c>
      <c r="AT30" s="149" t="e">
        <f>INDEX(DB!$B$2:$AB$62,MATCH(Perf!$AL30,DB!$A$2:$A$62,0),MATCH(Perf!AT$1,DB!$B$1:$AB$1,0))</f>
        <v>#REF!</v>
      </c>
      <c r="AU30" s="149" t="e">
        <f>INDEX(DB!$B$2:$AB$62,MATCH(Perf!$AL30,DB!$A$2:$A$62,0),MATCH(Perf!AU$1,DB!$B$1:$AB$1,0))</f>
        <v>#REF!</v>
      </c>
      <c r="AV30" s="150" t="e">
        <f t="shared" si="4"/>
        <v>#REF!</v>
      </c>
      <c r="AW30" s="149" t="e">
        <f>INDEX(DB!$B$2:$AB$62,MATCH(Perf!$AL30,DB!$A$2:$A$62,0),MATCH(Perf!AW$1,DB!$B$1:$AB$1,0))</f>
        <v>#REF!</v>
      </c>
      <c r="AX30" s="149" t="e">
        <f>INDEX(DB!$B$2:$AB$62,MATCH(Perf!$AL30,DB!$A$2:$A$62,0),MATCH(Perf!AX$1,DB!$B$1:$AB$1,0))</f>
        <v>#REF!</v>
      </c>
      <c r="AY30" s="149" t="e">
        <f>INDEX(DB!$B$2:$AB$62,MATCH(Perf!$AL30,DB!$A$2:$A$62,0),MATCH(Perf!AY$1,DB!$B$1:$AB$1,0))</f>
        <v>#REF!</v>
      </c>
      <c r="AZ30" s="149" t="e">
        <f>INDEX(DB!$B$2:$AB$62,MATCH(Perf!$AL30,DB!$A$2:$A$62,0),MATCH(Perf!AZ$1,DB!$B$1:$AB$1,0))</f>
        <v>#REF!</v>
      </c>
      <c r="BA30" s="149" t="e">
        <f>INDEX(DB!$B$2:$AB$62,MATCH(Perf!$AL30,DB!$A$2:$A$62,0),MATCH(Perf!BA$1,DB!$B$1:$AB$1,0))</f>
        <v>#REF!</v>
      </c>
      <c r="BB30" s="149" t="e">
        <f>INDEX(DB!$B$2:$AB$62,MATCH(Perf!$AL30,DB!$A$2:$A$62,0),MATCH(Perf!BB$1,DB!$B$1:$AB$1,0))</f>
        <v>#REF!</v>
      </c>
      <c r="BC30" s="149" t="e">
        <f>INDEX(DB!$B$2:$AB$62,MATCH(Perf!$AL30,DB!$A$2:$A$62,0),MATCH(Perf!BC$1,DB!$B$1:$AB$1,0))</f>
        <v>#REF!</v>
      </c>
      <c r="BD30" s="149" t="e">
        <f>INDEX(DB!$B$2:$AB$62,MATCH(Perf!$AL30,DB!$A$2:$A$62,0),MATCH(Perf!BD$1,DB!$B$1:$AB$1,0))</f>
        <v>#REF!</v>
      </c>
      <c r="BE30" s="149" t="e">
        <f>INDEX(DB!$B$2:$AB$62,MATCH(Perf!$AL30,DB!$A$2:$A$62,0),MATCH(Perf!BE$1,DB!$B$1:$AB$1,0))</f>
        <v>#REF!</v>
      </c>
      <c r="BF30" s="149" t="e">
        <f>INDEX(DB!$B$2:$AB$62,MATCH(Perf!$AL30,DB!$A$2:$A$62,0),MATCH(Perf!BF$1,DB!$B$1:$AB$1,0))</f>
        <v>#REF!</v>
      </c>
      <c r="BG30" s="149" t="e">
        <f>INDEX(DB!$B$2:$AB$62,MATCH(Perf!$AL30,DB!$A$2:$A$62,0),MATCH(Perf!BG$1,DB!$B$1:$AB$1,0))</f>
        <v>#REF!</v>
      </c>
      <c r="BH30" s="149" t="e">
        <f>INDEX(DB!$B$2:$AB$62,MATCH(Perf!$AL30,DB!$A$2:$A$62,0),MATCH(Perf!BH$1,DB!$B$1:$AB$1,0))</f>
        <v>#REF!</v>
      </c>
      <c r="BI30" s="149" t="e">
        <f>INDEX(DB!$B$2:$AB$62,MATCH(Perf!$AL30,DB!$A$2:$A$62,0),MATCH(Perf!BI$1,DB!$B$1:$AB$1,0))</f>
        <v>#REF!</v>
      </c>
      <c r="BJ30" s="149" t="e">
        <f t="shared" si="18"/>
        <v>#REF!</v>
      </c>
      <c r="BK30" s="149" t="e">
        <f>INDEX(DB!$B$2:$AB$62,MATCH(Perf!$AL30,DB!$A$2:$A$62,0),MATCH(Perf!BK$1,DB!$B$1:$AB$1,0))</f>
        <v>#REF!</v>
      </c>
      <c r="BL30" s="149" t="e">
        <f>INDEX(DB!$B$2:$AB$62,MATCH(Perf!$AL30,DB!$A$2:$A$62,0),MATCH(Perf!BL$1,DB!$B$1:$AB$1,0))</f>
        <v>#REF!</v>
      </c>
      <c r="BM30" s="149" t="e">
        <f>INDEX(DB!$B$2:$AB$62,MATCH(Perf!$AL30,DB!$A$2:$A$62,0),MATCH(Perf!BM$1,DB!$B$1:$AB$1,0))</f>
        <v>#REF!</v>
      </c>
    </row>
    <row r="31" spans="1:65" x14ac:dyDescent="0.15">
      <c r="A31" s="151">
        <f t="shared" si="8"/>
        <v>44985</v>
      </c>
      <c r="B31" s="148" t="e" cm="1">
        <f t="array" ref="B31">SUMPRODUCT(TRANSPOSE(#REF!),Perf!$AM31:$BN31)/100</f>
        <v>#REF!</v>
      </c>
      <c r="C31" s="148" t="e" cm="1">
        <f t="array" ref="C31">SUMPRODUCT(TRANSPOSE(#REF!),Perf!$AM31:$BN31)/100</f>
        <v>#REF!</v>
      </c>
      <c r="D31" s="148" t="e" cm="1">
        <f t="array" ref="D31">SUMPRODUCT(TRANSPOSE(#REF!),Perf!$AM31:$BN31)/100</f>
        <v>#REF!</v>
      </c>
      <c r="E31" s="148" t="e" cm="1">
        <f t="array" ref="E31">SUMPRODUCT(TRANSPOSE(#REF!),Perf!$AM31:$BN31)/100</f>
        <v>#REF!</v>
      </c>
      <c r="F31" s="148" t="e" cm="1">
        <f t="array" ref="F31">SUMPRODUCT(TRANSPOSE(#REF!),Perf!$AM31:$BN31)/100</f>
        <v>#REF!</v>
      </c>
      <c r="G31" s="148" t="e">
        <f t="shared" si="9"/>
        <v>#REF!</v>
      </c>
      <c r="H31" s="148"/>
      <c r="I31" s="160">
        <f t="shared" si="10"/>
        <v>44957</v>
      </c>
      <c r="J31" s="148" t="e">
        <f t="shared" si="19"/>
        <v>#REF!</v>
      </c>
      <c r="K31" s="148" t="e">
        <f t="shared" si="20"/>
        <v>#REF!</v>
      </c>
      <c r="L31" s="148" t="e">
        <f t="shared" si="21"/>
        <v>#REF!</v>
      </c>
      <c r="M31" s="148" t="e">
        <f t="shared" si="22"/>
        <v>#REF!</v>
      </c>
      <c r="N31" s="148" t="e">
        <f t="shared" si="23"/>
        <v>#REF!</v>
      </c>
      <c r="O31" s="148" t="e">
        <f t="shared" si="24"/>
        <v>#REF!</v>
      </c>
      <c r="P31" s="148"/>
      <c r="Q31" s="160">
        <f t="shared" si="12"/>
        <v>44985</v>
      </c>
      <c r="R31" s="148" t="e">
        <f t="shared" si="13"/>
        <v>#REF!</v>
      </c>
      <c r="S31" s="148" t="e">
        <f t="shared" si="14"/>
        <v>#REF!</v>
      </c>
      <c r="T31" s="148" t="e">
        <f t="shared" si="15"/>
        <v>#REF!</v>
      </c>
      <c r="U31" s="148" t="e">
        <f t="shared" si="16"/>
        <v>#REF!</v>
      </c>
      <c r="V31" s="148" t="e">
        <f t="shared" si="17"/>
        <v>#REF!</v>
      </c>
      <c r="W31" s="148"/>
      <c r="X31" s="160"/>
      <c r="Y31" s="169"/>
      <c r="Z31" s="169"/>
      <c r="AA31" s="169"/>
      <c r="AB31" s="169"/>
      <c r="AC31" s="169"/>
      <c r="AD31" s="148"/>
      <c r="AE31" s="160">
        <f t="shared" si="26"/>
        <v>44985</v>
      </c>
      <c r="AF31" s="170" t="e">
        <f t="shared" si="28"/>
        <v>#REF!</v>
      </c>
      <c r="AG31" s="170" t="e">
        <f t="shared" si="29"/>
        <v>#REF!</v>
      </c>
      <c r="AH31" s="170" t="e">
        <f t="shared" si="30"/>
        <v>#REF!</v>
      </c>
      <c r="AI31" s="170" t="e">
        <f t="shared" si="31"/>
        <v>#REF!</v>
      </c>
      <c r="AJ31" s="170" t="e">
        <f t="shared" si="32"/>
        <v>#REF!</v>
      </c>
      <c r="AL31" s="151">
        <f>DB!A31</f>
        <v>44985</v>
      </c>
      <c r="AM31" s="149" t="e">
        <f>INDEX(DB!$B$2:$AB$62,MATCH(Perf!$AL31,DB!$A$2:$A$62,0),MATCH(Perf!AM$1,DB!$B$1:$AB$1,0))</f>
        <v>#REF!</v>
      </c>
      <c r="AN31" s="149" t="e">
        <f>INDEX(DB!$B$2:$AB$62,MATCH(Perf!$AL31,DB!$A$2:$A$62,0),MATCH(Perf!AN$1,DB!$B$1:$AB$1,0))</f>
        <v>#REF!</v>
      </c>
      <c r="AO31" s="149" t="e">
        <f>INDEX(DB!$B$2:$AB$62,MATCH(Perf!$AL31,DB!$A$2:$A$62,0),MATCH(Perf!AO$1,DB!$B$1:$AB$1,0))</f>
        <v>#REF!</v>
      </c>
      <c r="AP31" s="149" t="e">
        <f>INDEX(DB!$B$2:$AB$62,MATCH(Perf!$AL31,DB!$A$2:$A$62,0),MATCH(Perf!AP$1,DB!$B$1:$AB$1,0))</f>
        <v>#REF!</v>
      </c>
      <c r="AQ31" s="149" t="e">
        <f>INDEX(DB!$B$2:$AB$62,MATCH(Perf!$AL31,DB!$A$2:$A$62,0),MATCH(Perf!AQ$1,DB!$B$1:$AB$1,0))</f>
        <v>#REF!</v>
      </c>
      <c r="AR31" s="149" t="e">
        <f>INDEX(DB!$B$2:$AB$62,MATCH(Perf!$AL31,DB!$A$2:$A$62,0),MATCH(Perf!AR$1,DB!$B$1:$AB$1,0))</f>
        <v>#REF!</v>
      </c>
      <c r="AS31" s="149" t="e">
        <f>INDEX(DB!$B$2:$AB$62,MATCH(Perf!$AL31,DB!$A$2:$A$62,0),MATCH(Perf!AS$1,DB!$B$1:$AB$1,0))</f>
        <v>#REF!</v>
      </c>
      <c r="AT31" s="149" t="e">
        <f>INDEX(DB!$B$2:$AB$62,MATCH(Perf!$AL31,DB!$A$2:$A$62,0),MATCH(Perf!AT$1,DB!$B$1:$AB$1,0))</f>
        <v>#REF!</v>
      </c>
      <c r="AU31" s="149" t="e">
        <f>INDEX(DB!$B$2:$AB$62,MATCH(Perf!$AL31,DB!$A$2:$A$62,0),MATCH(Perf!AU$1,DB!$B$1:$AB$1,0))</f>
        <v>#REF!</v>
      </c>
      <c r="AV31" s="150" t="e">
        <f t="shared" si="4"/>
        <v>#REF!</v>
      </c>
      <c r="AW31" s="149" t="e">
        <f>INDEX(DB!$B$2:$AB$62,MATCH(Perf!$AL31,DB!$A$2:$A$62,0),MATCH(Perf!AW$1,DB!$B$1:$AB$1,0))</f>
        <v>#REF!</v>
      </c>
      <c r="AX31" s="149" t="e">
        <f>INDEX(DB!$B$2:$AB$62,MATCH(Perf!$AL31,DB!$A$2:$A$62,0),MATCH(Perf!AX$1,DB!$B$1:$AB$1,0))</f>
        <v>#REF!</v>
      </c>
      <c r="AY31" s="149" t="e">
        <f>INDEX(DB!$B$2:$AB$62,MATCH(Perf!$AL31,DB!$A$2:$A$62,0),MATCH(Perf!AY$1,DB!$B$1:$AB$1,0))</f>
        <v>#REF!</v>
      </c>
      <c r="AZ31" s="149" t="e">
        <f>INDEX(DB!$B$2:$AB$62,MATCH(Perf!$AL31,DB!$A$2:$A$62,0),MATCH(Perf!AZ$1,DB!$B$1:$AB$1,0))</f>
        <v>#REF!</v>
      </c>
      <c r="BA31" s="149" t="e">
        <f>INDEX(DB!$B$2:$AB$62,MATCH(Perf!$AL31,DB!$A$2:$A$62,0),MATCH(Perf!BA$1,DB!$B$1:$AB$1,0))</f>
        <v>#REF!</v>
      </c>
      <c r="BB31" s="149" t="e">
        <f>INDEX(DB!$B$2:$AB$62,MATCH(Perf!$AL31,DB!$A$2:$A$62,0),MATCH(Perf!BB$1,DB!$B$1:$AB$1,0))</f>
        <v>#REF!</v>
      </c>
      <c r="BC31" s="149" t="e">
        <f>INDEX(DB!$B$2:$AB$62,MATCH(Perf!$AL31,DB!$A$2:$A$62,0),MATCH(Perf!BC$1,DB!$B$1:$AB$1,0))</f>
        <v>#REF!</v>
      </c>
      <c r="BD31" s="149" t="e">
        <f>INDEX(DB!$B$2:$AB$62,MATCH(Perf!$AL31,DB!$A$2:$A$62,0),MATCH(Perf!BD$1,DB!$B$1:$AB$1,0))</f>
        <v>#REF!</v>
      </c>
      <c r="BE31" s="149" t="e">
        <f>INDEX(DB!$B$2:$AB$62,MATCH(Perf!$AL31,DB!$A$2:$A$62,0),MATCH(Perf!BE$1,DB!$B$1:$AB$1,0))</f>
        <v>#REF!</v>
      </c>
      <c r="BF31" s="149" t="e">
        <f>INDEX(DB!$B$2:$AB$62,MATCH(Perf!$AL31,DB!$A$2:$A$62,0),MATCH(Perf!BF$1,DB!$B$1:$AB$1,0))</f>
        <v>#REF!</v>
      </c>
      <c r="BG31" s="149" t="e">
        <f>INDEX(DB!$B$2:$AB$62,MATCH(Perf!$AL31,DB!$A$2:$A$62,0),MATCH(Perf!BG$1,DB!$B$1:$AB$1,0))</f>
        <v>#REF!</v>
      </c>
      <c r="BH31" s="149" t="e">
        <f>INDEX(DB!$B$2:$AB$62,MATCH(Perf!$AL31,DB!$A$2:$A$62,0),MATCH(Perf!BH$1,DB!$B$1:$AB$1,0))</f>
        <v>#REF!</v>
      </c>
      <c r="BI31" s="149" t="e">
        <f>INDEX(DB!$B$2:$AB$62,MATCH(Perf!$AL31,DB!$A$2:$A$62,0),MATCH(Perf!BI$1,DB!$B$1:$AB$1,0))</f>
        <v>#REF!</v>
      </c>
      <c r="BJ31" s="149" t="e">
        <f t="shared" si="18"/>
        <v>#REF!</v>
      </c>
      <c r="BK31" s="149" t="e">
        <f>INDEX(DB!$B$2:$AB$62,MATCH(Perf!$AL31,DB!$A$2:$A$62,0),MATCH(Perf!BK$1,DB!$B$1:$AB$1,0))</f>
        <v>#REF!</v>
      </c>
      <c r="BL31" s="149" t="e">
        <f>INDEX(DB!$B$2:$AB$62,MATCH(Perf!$AL31,DB!$A$2:$A$62,0),MATCH(Perf!BL$1,DB!$B$1:$AB$1,0))</f>
        <v>#REF!</v>
      </c>
      <c r="BM31" s="149" t="e">
        <f>INDEX(DB!$B$2:$AB$62,MATCH(Perf!$AL31,DB!$A$2:$A$62,0),MATCH(Perf!BM$1,DB!$B$1:$AB$1,0))</f>
        <v>#REF!</v>
      </c>
    </row>
    <row r="32" spans="1:65" x14ac:dyDescent="0.15">
      <c r="A32" s="151">
        <f t="shared" si="8"/>
        <v>45016</v>
      </c>
      <c r="B32" s="148" t="e" cm="1">
        <f t="array" ref="B32">SUMPRODUCT(TRANSPOSE(#REF!),Perf!$AM32:$BN32)/100</f>
        <v>#REF!</v>
      </c>
      <c r="C32" s="148" t="e" cm="1">
        <f t="array" ref="C32">SUMPRODUCT(TRANSPOSE(#REF!),Perf!$AM32:$BN32)/100</f>
        <v>#REF!</v>
      </c>
      <c r="D32" s="148" t="e" cm="1">
        <f t="array" ref="D32">SUMPRODUCT(TRANSPOSE(#REF!),Perf!$AM32:$BN32)/100</f>
        <v>#REF!</v>
      </c>
      <c r="E32" s="148" t="e" cm="1">
        <f t="array" ref="E32">SUMPRODUCT(TRANSPOSE(#REF!),Perf!$AM32:$BN32)/100</f>
        <v>#REF!</v>
      </c>
      <c r="F32" s="148" t="e" cm="1">
        <f t="array" ref="F32">SUMPRODUCT(TRANSPOSE(#REF!),Perf!$AM32:$BN32)/100</f>
        <v>#REF!</v>
      </c>
      <c r="G32" s="148" t="e">
        <f t="shared" si="9"/>
        <v>#REF!</v>
      </c>
      <c r="H32" s="148"/>
      <c r="I32" s="160">
        <f t="shared" si="10"/>
        <v>44985</v>
      </c>
      <c r="J32" s="148" t="e">
        <f t="shared" si="19"/>
        <v>#REF!</v>
      </c>
      <c r="K32" s="148" t="e">
        <f t="shared" si="20"/>
        <v>#REF!</v>
      </c>
      <c r="L32" s="148" t="e">
        <f t="shared" si="21"/>
        <v>#REF!</v>
      </c>
      <c r="M32" s="148" t="e">
        <f t="shared" si="22"/>
        <v>#REF!</v>
      </c>
      <c r="N32" s="148" t="e">
        <f t="shared" si="23"/>
        <v>#REF!</v>
      </c>
      <c r="O32" s="148" t="e">
        <f t="shared" si="24"/>
        <v>#REF!</v>
      </c>
      <c r="P32" s="148"/>
      <c r="Q32" s="160">
        <f t="shared" si="12"/>
        <v>45016</v>
      </c>
      <c r="R32" s="148" t="e">
        <f t="shared" si="13"/>
        <v>#REF!</v>
      </c>
      <c r="S32" s="148" t="e">
        <f t="shared" si="14"/>
        <v>#REF!</v>
      </c>
      <c r="T32" s="148" t="e">
        <f t="shared" si="15"/>
        <v>#REF!</v>
      </c>
      <c r="U32" s="148" t="e">
        <f t="shared" si="16"/>
        <v>#REF!</v>
      </c>
      <c r="V32" s="148" t="e">
        <f t="shared" si="17"/>
        <v>#REF!</v>
      </c>
      <c r="W32" s="148"/>
      <c r="X32" s="160"/>
      <c r="Y32" s="169"/>
      <c r="Z32" s="169"/>
      <c r="AA32" s="169"/>
      <c r="AB32" s="169"/>
      <c r="AC32" s="169"/>
      <c r="AD32" s="148"/>
      <c r="AE32" s="160">
        <f t="shared" si="26"/>
        <v>45016</v>
      </c>
      <c r="AF32" s="170" t="e">
        <f t="shared" si="28"/>
        <v>#REF!</v>
      </c>
      <c r="AG32" s="170" t="e">
        <f t="shared" si="29"/>
        <v>#REF!</v>
      </c>
      <c r="AH32" s="170" t="e">
        <f t="shared" si="30"/>
        <v>#REF!</v>
      </c>
      <c r="AI32" s="170" t="e">
        <f t="shared" si="31"/>
        <v>#REF!</v>
      </c>
      <c r="AJ32" s="170" t="e">
        <f t="shared" si="32"/>
        <v>#REF!</v>
      </c>
      <c r="AL32" s="151">
        <f>DB!A32</f>
        <v>45016</v>
      </c>
      <c r="AM32" s="149" t="e">
        <f>INDEX(DB!$B$2:$AB$62,MATCH(Perf!$AL32,DB!$A$2:$A$62,0),MATCH(Perf!AM$1,DB!$B$1:$AB$1,0))</f>
        <v>#REF!</v>
      </c>
      <c r="AN32" s="149" t="e">
        <f>INDEX(DB!$B$2:$AB$62,MATCH(Perf!$AL32,DB!$A$2:$A$62,0),MATCH(Perf!AN$1,DB!$B$1:$AB$1,0))</f>
        <v>#REF!</v>
      </c>
      <c r="AO32" s="149" t="e">
        <f>INDEX(DB!$B$2:$AB$62,MATCH(Perf!$AL32,DB!$A$2:$A$62,0),MATCH(Perf!AO$1,DB!$B$1:$AB$1,0))</f>
        <v>#REF!</v>
      </c>
      <c r="AP32" s="149" t="e">
        <f>INDEX(DB!$B$2:$AB$62,MATCH(Perf!$AL32,DB!$A$2:$A$62,0),MATCH(Perf!AP$1,DB!$B$1:$AB$1,0))</f>
        <v>#REF!</v>
      </c>
      <c r="AQ32" s="149" t="e">
        <f>INDEX(DB!$B$2:$AB$62,MATCH(Perf!$AL32,DB!$A$2:$A$62,0),MATCH(Perf!AQ$1,DB!$B$1:$AB$1,0))</f>
        <v>#REF!</v>
      </c>
      <c r="AR32" s="149" t="e">
        <f>INDEX(DB!$B$2:$AB$62,MATCH(Perf!$AL32,DB!$A$2:$A$62,0),MATCH(Perf!AR$1,DB!$B$1:$AB$1,0))</f>
        <v>#REF!</v>
      </c>
      <c r="AS32" s="149" t="e">
        <f>INDEX(DB!$B$2:$AB$62,MATCH(Perf!$AL32,DB!$A$2:$A$62,0),MATCH(Perf!AS$1,DB!$B$1:$AB$1,0))</f>
        <v>#REF!</v>
      </c>
      <c r="AT32" s="149" t="e">
        <f>INDEX(DB!$B$2:$AB$62,MATCH(Perf!$AL32,DB!$A$2:$A$62,0),MATCH(Perf!AT$1,DB!$B$1:$AB$1,0))</f>
        <v>#REF!</v>
      </c>
      <c r="AU32" s="149" t="e">
        <f>INDEX(DB!$B$2:$AB$62,MATCH(Perf!$AL32,DB!$A$2:$A$62,0),MATCH(Perf!AU$1,DB!$B$1:$AB$1,0))</f>
        <v>#REF!</v>
      </c>
      <c r="AV32" s="150" t="e">
        <f t="shared" si="4"/>
        <v>#REF!</v>
      </c>
      <c r="AW32" s="149" t="e">
        <f>INDEX(DB!$B$2:$AB$62,MATCH(Perf!$AL32,DB!$A$2:$A$62,0),MATCH(Perf!AW$1,DB!$B$1:$AB$1,0))</f>
        <v>#REF!</v>
      </c>
      <c r="AX32" s="149" t="e">
        <f>INDEX(DB!$B$2:$AB$62,MATCH(Perf!$AL32,DB!$A$2:$A$62,0),MATCH(Perf!AX$1,DB!$B$1:$AB$1,0))</f>
        <v>#REF!</v>
      </c>
      <c r="AY32" s="149" t="e">
        <f>INDEX(DB!$B$2:$AB$62,MATCH(Perf!$AL32,DB!$A$2:$A$62,0),MATCH(Perf!AY$1,DB!$B$1:$AB$1,0))</f>
        <v>#REF!</v>
      </c>
      <c r="AZ32" s="149" t="e">
        <f>INDEX(DB!$B$2:$AB$62,MATCH(Perf!$AL32,DB!$A$2:$A$62,0),MATCH(Perf!AZ$1,DB!$B$1:$AB$1,0))</f>
        <v>#REF!</v>
      </c>
      <c r="BA32" s="149" t="e">
        <f>INDEX(DB!$B$2:$AB$62,MATCH(Perf!$AL32,DB!$A$2:$A$62,0),MATCH(Perf!BA$1,DB!$B$1:$AB$1,0))</f>
        <v>#REF!</v>
      </c>
      <c r="BB32" s="149" t="e">
        <f>INDEX(DB!$B$2:$AB$62,MATCH(Perf!$AL32,DB!$A$2:$A$62,0),MATCH(Perf!BB$1,DB!$B$1:$AB$1,0))</f>
        <v>#REF!</v>
      </c>
      <c r="BC32" s="149" t="e">
        <f>INDEX(DB!$B$2:$AB$62,MATCH(Perf!$AL32,DB!$A$2:$A$62,0),MATCH(Perf!BC$1,DB!$B$1:$AB$1,0))</f>
        <v>#REF!</v>
      </c>
      <c r="BD32" s="149" t="e">
        <f>INDEX(DB!$B$2:$AB$62,MATCH(Perf!$AL32,DB!$A$2:$A$62,0),MATCH(Perf!BD$1,DB!$B$1:$AB$1,0))</f>
        <v>#REF!</v>
      </c>
      <c r="BE32" s="149" t="e">
        <f>INDEX(DB!$B$2:$AB$62,MATCH(Perf!$AL32,DB!$A$2:$A$62,0),MATCH(Perf!BE$1,DB!$B$1:$AB$1,0))</f>
        <v>#REF!</v>
      </c>
      <c r="BF32" s="149" t="e">
        <f>INDEX(DB!$B$2:$AB$62,MATCH(Perf!$AL32,DB!$A$2:$A$62,0),MATCH(Perf!BF$1,DB!$B$1:$AB$1,0))</f>
        <v>#REF!</v>
      </c>
      <c r="BG32" s="149" t="e">
        <f>INDEX(DB!$B$2:$AB$62,MATCH(Perf!$AL32,DB!$A$2:$A$62,0),MATCH(Perf!BG$1,DB!$B$1:$AB$1,0))</f>
        <v>#REF!</v>
      </c>
      <c r="BH32" s="149" t="e">
        <f>INDEX(DB!$B$2:$AB$62,MATCH(Perf!$AL32,DB!$A$2:$A$62,0),MATCH(Perf!BH$1,DB!$B$1:$AB$1,0))</f>
        <v>#REF!</v>
      </c>
      <c r="BI32" s="149" t="e">
        <f>INDEX(DB!$B$2:$AB$62,MATCH(Perf!$AL32,DB!$A$2:$A$62,0),MATCH(Perf!BI$1,DB!$B$1:$AB$1,0))</f>
        <v>#REF!</v>
      </c>
      <c r="BJ32" s="149" t="e">
        <f t="shared" si="18"/>
        <v>#REF!</v>
      </c>
      <c r="BK32" s="149" t="e">
        <f>INDEX(DB!$B$2:$AB$62,MATCH(Perf!$AL32,DB!$A$2:$A$62,0),MATCH(Perf!BK$1,DB!$B$1:$AB$1,0))</f>
        <v>#REF!</v>
      </c>
      <c r="BL32" s="149" t="e">
        <f>INDEX(DB!$B$2:$AB$62,MATCH(Perf!$AL32,DB!$A$2:$A$62,0),MATCH(Perf!BL$1,DB!$B$1:$AB$1,0))</f>
        <v>#REF!</v>
      </c>
      <c r="BM32" s="149" t="e">
        <f>INDEX(DB!$B$2:$AB$62,MATCH(Perf!$AL32,DB!$A$2:$A$62,0),MATCH(Perf!BM$1,DB!$B$1:$AB$1,0))</f>
        <v>#REF!</v>
      </c>
    </row>
    <row r="33" spans="1:65" x14ac:dyDescent="0.15">
      <c r="A33" s="151">
        <f t="shared" si="8"/>
        <v>45046</v>
      </c>
      <c r="B33" s="148" t="e" cm="1">
        <f t="array" ref="B33">SUMPRODUCT(TRANSPOSE(#REF!),Perf!$AM33:$BN33)/100</f>
        <v>#REF!</v>
      </c>
      <c r="C33" s="148" t="e" cm="1">
        <f t="array" ref="C33">SUMPRODUCT(TRANSPOSE(#REF!),Perf!$AM33:$BN33)/100</f>
        <v>#REF!</v>
      </c>
      <c r="D33" s="148" t="e" cm="1">
        <f t="array" ref="D33">SUMPRODUCT(TRANSPOSE(#REF!),Perf!$AM33:$BN33)/100</f>
        <v>#REF!</v>
      </c>
      <c r="E33" s="148" t="e" cm="1">
        <f t="array" ref="E33">SUMPRODUCT(TRANSPOSE(#REF!),Perf!$AM33:$BN33)/100</f>
        <v>#REF!</v>
      </c>
      <c r="F33" s="148" t="e" cm="1">
        <f t="array" ref="F33">SUMPRODUCT(TRANSPOSE(#REF!),Perf!$AM33:$BN33)/100</f>
        <v>#REF!</v>
      </c>
      <c r="G33" s="148" t="e">
        <f t="shared" si="9"/>
        <v>#REF!</v>
      </c>
      <c r="H33" s="148"/>
      <c r="I33" s="160">
        <f t="shared" si="10"/>
        <v>45016</v>
      </c>
      <c r="J33" s="148" t="e">
        <f t="shared" si="19"/>
        <v>#REF!</v>
      </c>
      <c r="K33" s="148" t="e">
        <f t="shared" si="20"/>
        <v>#REF!</v>
      </c>
      <c r="L33" s="148" t="e">
        <f t="shared" si="21"/>
        <v>#REF!</v>
      </c>
      <c r="M33" s="148" t="e">
        <f t="shared" si="22"/>
        <v>#REF!</v>
      </c>
      <c r="N33" s="148" t="e">
        <f t="shared" si="23"/>
        <v>#REF!</v>
      </c>
      <c r="O33" s="148" t="e">
        <f t="shared" si="24"/>
        <v>#REF!</v>
      </c>
      <c r="P33" s="148"/>
      <c r="Q33" s="160">
        <f t="shared" si="12"/>
        <v>45046</v>
      </c>
      <c r="R33" s="148" t="e">
        <f t="shared" si="13"/>
        <v>#REF!</v>
      </c>
      <c r="S33" s="148" t="e">
        <f t="shared" si="14"/>
        <v>#REF!</v>
      </c>
      <c r="T33" s="148" t="e">
        <f t="shared" si="15"/>
        <v>#REF!</v>
      </c>
      <c r="U33" s="148" t="e">
        <f t="shared" si="16"/>
        <v>#REF!</v>
      </c>
      <c r="V33" s="148" t="e">
        <f t="shared" si="17"/>
        <v>#REF!</v>
      </c>
      <c r="W33" s="148"/>
      <c r="X33" s="160"/>
      <c r="Y33" s="169"/>
      <c r="Z33" s="169"/>
      <c r="AA33" s="169"/>
      <c r="AB33" s="169"/>
      <c r="AC33" s="169"/>
      <c r="AD33" s="148"/>
      <c r="AE33" s="160">
        <f t="shared" si="26"/>
        <v>45046</v>
      </c>
      <c r="AF33" s="170" t="e">
        <f t="shared" si="28"/>
        <v>#REF!</v>
      </c>
      <c r="AG33" s="170" t="e">
        <f t="shared" si="29"/>
        <v>#REF!</v>
      </c>
      <c r="AH33" s="170" t="e">
        <f t="shared" si="30"/>
        <v>#REF!</v>
      </c>
      <c r="AI33" s="170" t="e">
        <f t="shared" si="31"/>
        <v>#REF!</v>
      </c>
      <c r="AJ33" s="170" t="e">
        <f t="shared" si="32"/>
        <v>#REF!</v>
      </c>
      <c r="AL33" s="151">
        <f>DB!A33</f>
        <v>45046</v>
      </c>
      <c r="AM33" s="149" t="e">
        <f>INDEX(DB!$B$2:$AB$62,MATCH(Perf!$AL33,DB!$A$2:$A$62,0),MATCH(Perf!AM$1,DB!$B$1:$AB$1,0))</f>
        <v>#REF!</v>
      </c>
      <c r="AN33" s="149" t="e">
        <f>INDEX(DB!$B$2:$AB$62,MATCH(Perf!$AL33,DB!$A$2:$A$62,0),MATCH(Perf!AN$1,DB!$B$1:$AB$1,0))</f>
        <v>#REF!</v>
      </c>
      <c r="AO33" s="149" t="e">
        <f>INDEX(DB!$B$2:$AB$62,MATCH(Perf!$AL33,DB!$A$2:$A$62,0),MATCH(Perf!AO$1,DB!$B$1:$AB$1,0))</f>
        <v>#REF!</v>
      </c>
      <c r="AP33" s="149" t="e">
        <f>INDEX(DB!$B$2:$AB$62,MATCH(Perf!$AL33,DB!$A$2:$A$62,0),MATCH(Perf!AP$1,DB!$B$1:$AB$1,0))</f>
        <v>#REF!</v>
      </c>
      <c r="AQ33" s="149" t="e">
        <f>INDEX(DB!$B$2:$AB$62,MATCH(Perf!$AL33,DB!$A$2:$A$62,0),MATCH(Perf!AQ$1,DB!$B$1:$AB$1,0))</f>
        <v>#REF!</v>
      </c>
      <c r="AR33" s="149" t="e">
        <f>INDEX(DB!$B$2:$AB$62,MATCH(Perf!$AL33,DB!$A$2:$A$62,0),MATCH(Perf!AR$1,DB!$B$1:$AB$1,0))</f>
        <v>#REF!</v>
      </c>
      <c r="AS33" s="149" t="e">
        <f>INDEX(DB!$B$2:$AB$62,MATCH(Perf!$AL33,DB!$A$2:$A$62,0),MATCH(Perf!AS$1,DB!$B$1:$AB$1,0))</f>
        <v>#REF!</v>
      </c>
      <c r="AT33" s="149" t="e">
        <f>INDEX(DB!$B$2:$AB$62,MATCH(Perf!$AL33,DB!$A$2:$A$62,0),MATCH(Perf!AT$1,DB!$B$1:$AB$1,0))</f>
        <v>#REF!</v>
      </c>
      <c r="AU33" s="149" t="e">
        <f>INDEX(DB!$B$2:$AB$62,MATCH(Perf!$AL33,DB!$A$2:$A$62,0),MATCH(Perf!AU$1,DB!$B$1:$AB$1,0))</f>
        <v>#REF!</v>
      </c>
      <c r="AV33" s="150" t="e">
        <f t="shared" si="4"/>
        <v>#REF!</v>
      </c>
      <c r="AW33" s="149" t="e">
        <f>INDEX(DB!$B$2:$AB$62,MATCH(Perf!$AL33,DB!$A$2:$A$62,0),MATCH(Perf!AW$1,DB!$B$1:$AB$1,0))</f>
        <v>#REF!</v>
      </c>
      <c r="AX33" s="149" t="e">
        <f>INDEX(DB!$B$2:$AB$62,MATCH(Perf!$AL33,DB!$A$2:$A$62,0),MATCH(Perf!AX$1,DB!$B$1:$AB$1,0))</f>
        <v>#REF!</v>
      </c>
      <c r="AY33" s="149" t="e">
        <f>INDEX(DB!$B$2:$AB$62,MATCH(Perf!$AL33,DB!$A$2:$A$62,0),MATCH(Perf!AY$1,DB!$B$1:$AB$1,0))</f>
        <v>#REF!</v>
      </c>
      <c r="AZ33" s="149" t="e">
        <f>INDEX(DB!$B$2:$AB$62,MATCH(Perf!$AL33,DB!$A$2:$A$62,0),MATCH(Perf!AZ$1,DB!$B$1:$AB$1,0))</f>
        <v>#REF!</v>
      </c>
      <c r="BA33" s="149" t="e">
        <f>INDEX(DB!$B$2:$AB$62,MATCH(Perf!$AL33,DB!$A$2:$A$62,0),MATCH(Perf!BA$1,DB!$B$1:$AB$1,0))</f>
        <v>#REF!</v>
      </c>
      <c r="BB33" s="149" t="e">
        <f>INDEX(DB!$B$2:$AB$62,MATCH(Perf!$AL33,DB!$A$2:$A$62,0),MATCH(Perf!BB$1,DB!$B$1:$AB$1,0))</f>
        <v>#REF!</v>
      </c>
      <c r="BC33" s="149" t="e">
        <f>INDEX(DB!$B$2:$AB$62,MATCH(Perf!$AL33,DB!$A$2:$A$62,0),MATCH(Perf!BC$1,DB!$B$1:$AB$1,0))</f>
        <v>#REF!</v>
      </c>
      <c r="BD33" s="149" t="e">
        <f>INDEX(DB!$B$2:$AB$62,MATCH(Perf!$AL33,DB!$A$2:$A$62,0),MATCH(Perf!BD$1,DB!$B$1:$AB$1,0))</f>
        <v>#REF!</v>
      </c>
      <c r="BE33" s="149" t="e">
        <f>INDEX(DB!$B$2:$AB$62,MATCH(Perf!$AL33,DB!$A$2:$A$62,0),MATCH(Perf!BE$1,DB!$B$1:$AB$1,0))</f>
        <v>#REF!</v>
      </c>
      <c r="BF33" s="149" t="e">
        <f>INDEX(DB!$B$2:$AB$62,MATCH(Perf!$AL33,DB!$A$2:$A$62,0),MATCH(Perf!BF$1,DB!$B$1:$AB$1,0))</f>
        <v>#REF!</v>
      </c>
      <c r="BG33" s="149" t="e">
        <f>INDEX(DB!$B$2:$AB$62,MATCH(Perf!$AL33,DB!$A$2:$A$62,0),MATCH(Perf!BG$1,DB!$B$1:$AB$1,0))</f>
        <v>#REF!</v>
      </c>
      <c r="BH33" s="149" t="e">
        <f>INDEX(DB!$B$2:$AB$62,MATCH(Perf!$AL33,DB!$A$2:$A$62,0),MATCH(Perf!BH$1,DB!$B$1:$AB$1,0))</f>
        <v>#REF!</v>
      </c>
      <c r="BI33" s="149" t="e">
        <f>INDEX(DB!$B$2:$AB$62,MATCH(Perf!$AL33,DB!$A$2:$A$62,0),MATCH(Perf!BI$1,DB!$B$1:$AB$1,0))</f>
        <v>#REF!</v>
      </c>
      <c r="BJ33" s="149" t="e">
        <f t="shared" si="18"/>
        <v>#REF!</v>
      </c>
      <c r="BK33" s="149" t="e">
        <f>INDEX(DB!$B$2:$AB$62,MATCH(Perf!$AL33,DB!$A$2:$A$62,0),MATCH(Perf!BK$1,DB!$B$1:$AB$1,0))</f>
        <v>#REF!</v>
      </c>
      <c r="BL33" s="149" t="e">
        <f>INDEX(DB!$B$2:$AB$62,MATCH(Perf!$AL33,DB!$A$2:$A$62,0),MATCH(Perf!BL$1,DB!$B$1:$AB$1,0))</f>
        <v>#REF!</v>
      </c>
      <c r="BM33" s="149" t="e">
        <f>INDEX(DB!$B$2:$AB$62,MATCH(Perf!$AL33,DB!$A$2:$A$62,0),MATCH(Perf!BM$1,DB!$B$1:$AB$1,0))</f>
        <v>#REF!</v>
      </c>
    </row>
    <row r="34" spans="1:65" x14ac:dyDescent="0.15">
      <c r="A34" s="151">
        <f t="shared" si="8"/>
        <v>45077</v>
      </c>
      <c r="B34" s="148" t="e" cm="1">
        <f t="array" ref="B34">SUMPRODUCT(TRANSPOSE(#REF!),Perf!$AM34:$BN34)/100</f>
        <v>#REF!</v>
      </c>
      <c r="C34" s="148" t="e" cm="1">
        <f t="array" ref="C34">SUMPRODUCT(TRANSPOSE(#REF!),Perf!$AM34:$BN34)/100</f>
        <v>#REF!</v>
      </c>
      <c r="D34" s="148" t="e" cm="1">
        <f t="array" ref="D34">SUMPRODUCT(TRANSPOSE(#REF!),Perf!$AM34:$BN34)/100</f>
        <v>#REF!</v>
      </c>
      <c r="E34" s="148" t="e" cm="1">
        <f t="array" ref="E34">SUMPRODUCT(TRANSPOSE(#REF!),Perf!$AM34:$BN34)/100</f>
        <v>#REF!</v>
      </c>
      <c r="F34" s="148" t="e" cm="1">
        <f t="array" ref="F34">SUMPRODUCT(TRANSPOSE(#REF!),Perf!$AM34:$BN34)/100</f>
        <v>#REF!</v>
      </c>
      <c r="G34" s="148" t="e">
        <f t="shared" si="9"/>
        <v>#REF!</v>
      </c>
      <c r="H34" s="148"/>
      <c r="I34" s="160">
        <f t="shared" si="10"/>
        <v>45046</v>
      </c>
      <c r="J34" s="148" t="e">
        <f t="shared" si="19"/>
        <v>#REF!</v>
      </c>
      <c r="K34" s="148" t="e">
        <f t="shared" si="20"/>
        <v>#REF!</v>
      </c>
      <c r="L34" s="148" t="e">
        <f t="shared" si="21"/>
        <v>#REF!</v>
      </c>
      <c r="M34" s="148" t="e">
        <f t="shared" si="22"/>
        <v>#REF!</v>
      </c>
      <c r="N34" s="148" t="e">
        <f t="shared" si="23"/>
        <v>#REF!</v>
      </c>
      <c r="O34" s="148" t="e">
        <f t="shared" si="24"/>
        <v>#REF!</v>
      </c>
      <c r="P34" s="148"/>
      <c r="Q34" s="160">
        <f t="shared" si="12"/>
        <v>45077</v>
      </c>
      <c r="R34" s="148" t="e">
        <f t="shared" si="13"/>
        <v>#REF!</v>
      </c>
      <c r="S34" s="148" t="e">
        <f t="shared" si="14"/>
        <v>#REF!</v>
      </c>
      <c r="T34" s="148" t="e">
        <f t="shared" si="15"/>
        <v>#REF!</v>
      </c>
      <c r="U34" s="148" t="e">
        <f t="shared" si="16"/>
        <v>#REF!</v>
      </c>
      <c r="V34" s="148" t="e">
        <f t="shared" si="17"/>
        <v>#REF!</v>
      </c>
      <c r="W34" s="148"/>
      <c r="X34" s="160"/>
      <c r="Y34" s="169"/>
      <c r="Z34" s="169"/>
      <c r="AA34" s="169"/>
      <c r="AB34" s="169"/>
      <c r="AC34" s="169"/>
      <c r="AD34" s="148"/>
      <c r="AE34" s="160">
        <f t="shared" si="26"/>
        <v>45077</v>
      </c>
      <c r="AF34" s="170" t="e">
        <f t="shared" si="28"/>
        <v>#REF!</v>
      </c>
      <c r="AG34" s="170" t="e">
        <f t="shared" si="29"/>
        <v>#REF!</v>
      </c>
      <c r="AH34" s="170" t="e">
        <f t="shared" si="30"/>
        <v>#REF!</v>
      </c>
      <c r="AI34" s="170" t="e">
        <f t="shared" si="31"/>
        <v>#REF!</v>
      </c>
      <c r="AJ34" s="170" t="e">
        <f t="shared" si="32"/>
        <v>#REF!</v>
      </c>
      <c r="AL34" s="151">
        <f>DB!A34</f>
        <v>45077</v>
      </c>
      <c r="AM34" s="149" t="e">
        <f>INDEX(DB!$B$2:$AB$62,MATCH(Perf!$AL34,DB!$A$2:$A$62,0),MATCH(Perf!AM$1,DB!$B$1:$AB$1,0))</f>
        <v>#REF!</v>
      </c>
      <c r="AN34" s="149" t="e">
        <f>INDEX(DB!$B$2:$AB$62,MATCH(Perf!$AL34,DB!$A$2:$A$62,0),MATCH(Perf!AN$1,DB!$B$1:$AB$1,0))</f>
        <v>#REF!</v>
      </c>
      <c r="AO34" s="149" t="e">
        <f>INDEX(DB!$B$2:$AB$62,MATCH(Perf!$AL34,DB!$A$2:$A$62,0),MATCH(Perf!AO$1,DB!$B$1:$AB$1,0))</f>
        <v>#REF!</v>
      </c>
      <c r="AP34" s="149" t="e">
        <f>INDEX(DB!$B$2:$AB$62,MATCH(Perf!$AL34,DB!$A$2:$A$62,0),MATCH(Perf!AP$1,DB!$B$1:$AB$1,0))</f>
        <v>#REF!</v>
      </c>
      <c r="AQ34" s="149" t="e">
        <f>INDEX(DB!$B$2:$AB$62,MATCH(Perf!$AL34,DB!$A$2:$A$62,0),MATCH(Perf!AQ$1,DB!$B$1:$AB$1,0))</f>
        <v>#REF!</v>
      </c>
      <c r="AR34" s="149" t="e">
        <f>INDEX(DB!$B$2:$AB$62,MATCH(Perf!$AL34,DB!$A$2:$A$62,0),MATCH(Perf!AR$1,DB!$B$1:$AB$1,0))</f>
        <v>#REF!</v>
      </c>
      <c r="AS34" s="149" t="e">
        <f>INDEX(DB!$B$2:$AB$62,MATCH(Perf!$AL34,DB!$A$2:$A$62,0),MATCH(Perf!AS$1,DB!$B$1:$AB$1,0))</f>
        <v>#REF!</v>
      </c>
      <c r="AT34" s="149" t="e">
        <f>INDEX(DB!$B$2:$AB$62,MATCH(Perf!$AL34,DB!$A$2:$A$62,0),MATCH(Perf!AT$1,DB!$B$1:$AB$1,0))</f>
        <v>#REF!</v>
      </c>
      <c r="AU34" s="149" t="e">
        <f>INDEX(DB!$B$2:$AB$62,MATCH(Perf!$AL34,DB!$A$2:$A$62,0),MATCH(Perf!AU$1,DB!$B$1:$AB$1,0))</f>
        <v>#REF!</v>
      </c>
      <c r="AV34" s="150" t="e">
        <f t="shared" si="4"/>
        <v>#REF!</v>
      </c>
      <c r="AW34" s="149" t="e">
        <f>INDEX(DB!$B$2:$AB$62,MATCH(Perf!$AL34,DB!$A$2:$A$62,0),MATCH(Perf!AW$1,DB!$B$1:$AB$1,0))</f>
        <v>#REF!</v>
      </c>
      <c r="AX34" s="149" t="e">
        <f>INDEX(DB!$B$2:$AB$62,MATCH(Perf!$AL34,DB!$A$2:$A$62,0),MATCH(Perf!AX$1,DB!$B$1:$AB$1,0))</f>
        <v>#REF!</v>
      </c>
      <c r="AY34" s="149" t="e">
        <f>INDEX(DB!$B$2:$AB$62,MATCH(Perf!$AL34,DB!$A$2:$A$62,0),MATCH(Perf!AY$1,DB!$B$1:$AB$1,0))</f>
        <v>#REF!</v>
      </c>
      <c r="AZ34" s="149" t="e">
        <f>INDEX(DB!$B$2:$AB$62,MATCH(Perf!$AL34,DB!$A$2:$A$62,0),MATCH(Perf!AZ$1,DB!$B$1:$AB$1,0))</f>
        <v>#REF!</v>
      </c>
      <c r="BA34" s="149" t="e">
        <f>INDEX(DB!$B$2:$AB$62,MATCH(Perf!$AL34,DB!$A$2:$A$62,0),MATCH(Perf!BA$1,DB!$B$1:$AB$1,0))</f>
        <v>#REF!</v>
      </c>
      <c r="BB34" s="149" t="e">
        <f>INDEX(DB!$B$2:$AB$62,MATCH(Perf!$AL34,DB!$A$2:$A$62,0),MATCH(Perf!BB$1,DB!$B$1:$AB$1,0))</f>
        <v>#REF!</v>
      </c>
      <c r="BC34" s="149" t="e">
        <f>INDEX(DB!$B$2:$AB$62,MATCH(Perf!$AL34,DB!$A$2:$A$62,0),MATCH(Perf!BC$1,DB!$B$1:$AB$1,0))</f>
        <v>#REF!</v>
      </c>
      <c r="BD34" s="149" t="e">
        <f>INDEX(DB!$B$2:$AB$62,MATCH(Perf!$AL34,DB!$A$2:$A$62,0),MATCH(Perf!BD$1,DB!$B$1:$AB$1,0))</f>
        <v>#REF!</v>
      </c>
      <c r="BE34" s="149" t="e">
        <f>INDEX(DB!$B$2:$AB$62,MATCH(Perf!$AL34,DB!$A$2:$A$62,0),MATCH(Perf!BE$1,DB!$B$1:$AB$1,0))</f>
        <v>#REF!</v>
      </c>
      <c r="BF34" s="149" t="e">
        <f>INDEX(DB!$B$2:$AB$62,MATCH(Perf!$AL34,DB!$A$2:$A$62,0),MATCH(Perf!BF$1,DB!$B$1:$AB$1,0))</f>
        <v>#REF!</v>
      </c>
      <c r="BG34" s="149" t="e">
        <f>INDEX(DB!$B$2:$AB$62,MATCH(Perf!$AL34,DB!$A$2:$A$62,0),MATCH(Perf!BG$1,DB!$B$1:$AB$1,0))</f>
        <v>#REF!</v>
      </c>
      <c r="BH34" s="149" t="e">
        <f>INDEX(DB!$B$2:$AB$62,MATCH(Perf!$AL34,DB!$A$2:$A$62,0),MATCH(Perf!BH$1,DB!$B$1:$AB$1,0))</f>
        <v>#REF!</v>
      </c>
      <c r="BI34" s="149" t="e">
        <f>INDEX(DB!$B$2:$AB$62,MATCH(Perf!$AL34,DB!$A$2:$A$62,0),MATCH(Perf!BI$1,DB!$B$1:$AB$1,0))</f>
        <v>#REF!</v>
      </c>
      <c r="BJ34" s="149" t="e">
        <f t="shared" si="18"/>
        <v>#REF!</v>
      </c>
      <c r="BK34" s="149" t="e">
        <f>INDEX(DB!$B$2:$AB$62,MATCH(Perf!$AL34,DB!$A$2:$A$62,0),MATCH(Perf!BK$1,DB!$B$1:$AB$1,0))</f>
        <v>#REF!</v>
      </c>
      <c r="BL34" s="149" t="e">
        <f>INDEX(DB!$B$2:$AB$62,MATCH(Perf!$AL34,DB!$A$2:$A$62,0),MATCH(Perf!BL$1,DB!$B$1:$AB$1,0))</f>
        <v>#REF!</v>
      </c>
      <c r="BM34" s="149" t="e">
        <f>INDEX(DB!$B$2:$AB$62,MATCH(Perf!$AL34,DB!$A$2:$A$62,0),MATCH(Perf!BM$1,DB!$B$1:$AB$1,0))</f>
        <v>#REF!</v>
      </c>
    </row>
    <row r="35" spans="1:65" x14ac:dyDescent="0.15">
      <c r="A35" s="151">
        <f t="shared" si="8"/>
        <v>45107</v>
      </c>
      <c r="B35" s="148" t="e" cm="1">
        <f t="array" ref="B35">SUMPRODUCT(TRANSPOSE(#REF!),Perf!$AM35:$BN35)/100</f>
        <v>#REF!</v>
      </c>
      <c r="C35" s="148" t="e" cm="1">
        <f t="array" ref="C35">SUMPRODUCT(TRANSPOSE(#REF!),Perf!$AM35:$BN35)/100</f>
        <v>#REF!</v>
      </c>
      <c r="D35" s="148" t="e" cm="1">
        <f t="array" ref="D35">SUMPRODUCT(TRANSPOSE(#REF!),Perf!$AM35:$BN35)/100</f>
        <v>#REF!</v>
      </c>
      <c r="E35" s="148" t="e" cm="1">
        <f t="array" ref="E35">SUMPRODUCT(TRANSPOSE(#REF!),Perf!$AM35:$BN35)/100</f>
        <v>#REF!</v>
      </c>
      <c r="F35" s="148" t="e" cm="1">
        <f t="array" ref="F35">SUMPRODUCT(TRANSPOSE(#REF!),Perf!$AM35:$BN35)/100</f>
        <v>#REF!</v>
      </c>
      <c r="G35" s="148" t="e">
        <f t="shared" si="9"/>
        <v>#REF!</v>
      </c>
      <c r="H35" s="148"/>
      <c r="I35" s="160">
        <f t="shared" ref="I35:I63" si="33">A34</f>
        <v>45077</v>
      </c>
      <c r="J35" s="148" t="e">
        <f t="shared" si="19"/>
        <v>#REF!</v>
      </c>
      <c r="K35" s="148" t="e">
        <f t="shared" si="20"/>
        <v>#REF!</v>
      </c>
      <c r="L35" s="148" t="e">
        <f t="shared" si="21"/>
        <v>#REF!</v>
      </c>
      <c r="M35" s="148" t="e">
        <f t="shared" si="22"/>
        <v>#REF!</v>
      </c>
      <c r="N35" s="148" t="e">
        <f t="shared" si="23"/>
        <v>#REF!</v>
      </c>
      <c r="O35" s="148" t="e">
        <f t="shared" si="24"/>
        <v>#REF!</v>
      </c>
      <c r="P35" s="148"/>
      <c r="Q35" s="160">
        <f t="shared" si="12"/>
        <v>45107</v>
      </c>
      <c r="R35" s="148" t="e">
        <f t="shared" si="13"/>
        <v>#REF!</v>
      </c>
      <c r="S35" s="148" t="e">
        <f t="shared" si="14"/>
        <v>#REF!</v>
      </c>
      <c r="T35" s="148" t="e">
        <f t="shared" si="15"/>
        <v>#REF!</v>
      </c>
      <c r="U35" s="148" t="e">
        <f t="shared" si="16"/>
        <v>#REF!</v>
      </c>
      <c r="V35" s="148" t="e">
        <f t="shared" si="17"/>
        <v>#REF!</v>
      </c>
      <c r="W35" s="148"/>
      <c r="X35" s="160"/>
      <c r="Y35" s="169"/>
      <c r="Z35" s="169"/>
      <c r="AA35" s="169"/>
      <c r="AB35" s="169"/>
      <c r="AC35" s="169"/>
      <c r="AD35" s="148"/>
      <c r="AE35" s="160">
        <f t="shared" si="26"/>
        <v>45107</v>
      </c>
      <c r="AF35" s="170" t="e">
        <f t="shared" si="28"/>
        <v>#REF!</v>
      </c>
      <c r="AG35" s="170" t="e">
        <f t="shared" si="29"/>
        <v>#REF!</v>
      </c>
      <c r="AH35" s="170" t="e">
        <f t="shared" si="30"/>
        <v>#REF!</v>
      </c>
      <c r="AI35" s="170" t="e">
        <f t="shared" si="31"/>
        <v>#REF!</v>
      </c>
      <c r="AJ35" s="170" t="e">
        <f t="shared" si="32"/>
        <v>#REF!</v>
      </c>
      <c r="AL35" s="151">
        <f>DB!A35</f>
        <v>45107</v>
      </c>
      <c r="AM35" s="149" t="e">
        <f>INDEX(DB!$B$2:$AB$62,MATCH(Perf!$AL35,DB!$A$2:$A$62,0),MATCH(Perf!AM$1,DB!$B$1:$AB$1,0))</f>
        <v>#REF!</v>
      </c>
      <c r="AN35" s="149" t="e">
        <f>INDEX(DB!$B$2:$AB$62,MATCH(Perf!$AL35,DB!$A$2:$A$62,0),MATCH(Perf!AN$1,DB!$B$1:$AB$1,0))</f>
        <v>#REF!</v>
      </c>
      <c r="AO35" s="149" t="e">
        <f>INDEX(DB!$B$2:$AB$62,MATCH(Perf!$AL35,DB!$A$2:$A$62,0),MATCH(Perf!AO$1,DB!$B$1:$AB$1,0))</f>
        <v>#REF!</v>
      </c>
      <c r="AP35" s="149" t="e">
        <f>INDEX(DB!$B$2:$AB$62,MATCH(Perf!$AL35,DB!$A$2:$A$62,0),MATCH(Perf!AP$1,DB!$B$1:$AB$1,0))</f>
        <v>#REF!</v>
      </c>
      <c r="AQ35" s="149" t="e">
        <f>INDEX(DB!$B$2:$AB$62,MATCH(Perf!$AL35,DB!$A$2:$A$62,0),MATCH(Perf!AQ$1,DB!$B$1:$AB$1,0))</f>
        <v>#REF!</v>
      </c>
      <c r="AR35" s="149" t="e">
        <f>INDEX(DB!$B$2:$AB$62,MATCH(Perf!$AL35,DB!$A$2:$A$62,0),MATCH(Perf!AR$1,DB!$B$1:$AB$1,0))</f>
        <v>#REF!</v>
      </c>
      <c r="AS35" s="149" t="e">
        <f>INDEX(DB!$B$2:$AB$62,MATCH(Perf!$AL35,DB!$A$2:$A$62,0),MATCH(Perf!AS$1,DB!$B$1:$AB$1,0))</f>
        <v>#REF!</v>
      </c>
      <c r="AT35" s="149" t="e">
        <f>INDEX(DB!$B$2:$AB$62,MATCH(Perf!$AL35,DB!$A$2:$A$62,0),MATCH(Perf!AT$1,DB!$B$1:$AB$1,0))</f>
        <v>#REF!</v>
      </c>
      <c r="AU35" s="149" t="e">
        <f>INDEX(DB!$B$2:$AB$62,MATCH(Perf!$AL35,DB!$A$2:$A$62,0),MATCH(Perf!AU$1,DB!$B$1:$AB$1,0))</f>
        <v>#REF!</v>
      </c>
      <c r="AV35" s="150" t="e">
        <f t="shared" si="4"/>
        <v>#REF!</v>
      </c>
      <c r="AW35" s="149" t="e">
        <f>INDEX(DB!$B$2:$AB$62,MATCH(Perf!$AL35,DB!$A$2:$A$62,0),MATCH(Perf!AW$1,DB!$B$1:$AB$1,0))</f>
        <v>#REF!</v>
      </c>
      <c r="AX35" s="149" t="e">
        <f>INDEX(DB!$B$2:$AB$62,MATCH(Perf!$AL35,DB!$A$2:$A$62,0),MATCH(Perf!AX$1,DB!$B$1:$AB$1,0))</f>
        <v>#REF!</v>
      </c>
      <c r="AY35" s="149" t="e">
        <f>INDEX(DB!$B$2:$AB$62,MATCH(Perf!$AL35,DB!$A$2:$A$62,0),MATCH(Perf!AY$1,DB!$B$1:$AB$1,0))</f>
        <v>#REF!</v>
      </c>
      <c r="AZ35" s="149" t="e">
        <f>INDEX(DB!$B$2:$AB$62,MATCH(Perf!$AL35,DB!$A$2:$A$62,0),MATCH(Perf!AZ$1,DB!$B$1:$AB$1,0))</f>
        <v>#REF!</v>
      </c>
      <c r="BA35" s="149" t="e">
        <f>INDEX(DB!$B$2:$AB$62,MATCH(Perf!$AL35,DB!$A$2:$A$62,0),MATCH(Perf!BA$1,DB!$B$1:$AB$1,0))</f>
        <v>#REF!</v>
      </c>
      <c r="BB35" s="149" t="e">
        <f>INDEX(DB!$B$2:$AB$62,MATCH(Perf!$AL35,DB!$A$2:$A$62,0),MATCH(Perf!BB$1,DB!$B$1:$AB$1,0))</f>
        <v>#REF!</v>
      </c>
      <c r="BC35" s="149" t="e">
        <f>INDEX(DB!$B$2:$AB$62,MATCH(Perf!$AL35,DB!$A$2:$A$62,0),MATCH(Perf!BC$1,DB!$B$1:$AB$1,0))</f>
        <v>#REF!</v>
      </c>
      <c r="BD35" s="149" t="e">
        <f>INDEX(DB!$B$2:$AB$62,MATCH(Perf!$AL35,DB!$A$2:$A$62,0),MATCH(Perf!BD$1,DB!$B$1:$AB$1,0))</f>
        <v>#REF!</v>
      </c>
      <c r="BE35" s="149" t="e">
        <f>INDEX(DB!$B$2:$AB$62,MATCH(Perf!$AL35,DB!$A$2:$A$62,0),MATCH(Perf!BE$1,DB!$B$1:$AB$1,0))</f>
        <v>#REF!</v>
      </c>
      <c r="BF35" s="149" t="e">
        <f>INDEX(DB!$B$2:$AB$62,MATCH(Perf!$AL35,DB!$A$2:$A$62,0),MATCH(Perf!BF$1,DB!$B$1:$AB$1,0))</f>
        <v>#REF!</v>
      </c>
      <c r="BG35" s="149" t="e">
        <f>INDEX(DB!$B$2:$AB$62,MATCH(Perf!$AL35,DB!$A$2:$A$62,0),MATCH(Perf!BG$1,DB!$B$1:$AB$1,0))</f>
        <v>#REF!</v>
      </c>
      <c r="BH35" s="149" t="e">
        <f>INDEX(DB!$B$2:$AB$62,MATCH(Perf!$AL35,DB!$A$2:$A$62,0),MATCH(Perf!BH$1,DB!$B$1:$AB$1,0))</f>
        <v>#REF!</v>
      </c>
      <c r="BI35" s="149" t="e">
        <f>INDEX(DB!$B$2:$AB$62,MATCH(Perf!$AL35,DB!$A$2:$A$62,0),MATCH(Perf!BI$1,DB!$B$1:$AB$1,0))</f>
        <v>#REF!</v>
      </c>
      <c r="BJ35" s="149" t="e">
        <f t="shared" si="18"/>
        <v>#REF!</v>
      </c>
      <c r="BK35" s="149" t="e">
        <f>INDEX(DB!$B$2:$AB$62,MATCH(Perf!$AL35,DB!$A$2:$A$62,0),MATCH(Perf!BK$1,DB!$B$1:$AB$1,0))</f>
        <v>#REF!</v>
      </c>
      <c r="BL35" s="149" t="e">
        <f>INDEX(DB!$B$2:$AB$62,MATCH(Perf!$AL35,DB!$A$2:$A$62,0),MATCH(Perf!BL$1,DB!$B$1:$AB$1,0))</f>
        <v>#REF!</v>
      </c>
      <c r="BM35" s="149" t="e">
        <f>INDEX(DB!$B$2:$AB$62,MATCH(Perf!$AL35,DB!$A$2:$A$62,0),MATCH(Perf!BM$1,DB!$B$1:$AB$1,0))</f>
        <v>#REF!</v>
      </c>
    </row>
    <row r="36" spans="1:65" x14ac:dyDescent="0.15">
      <c r="A36" s="151">
        <f t="shared" si="8"/>
        <v>45138</v>
      </c>
      <c r="B36" s="148" t="e" cm="1">
        <f t="array" ref="B36">SUMPRODUCT(TRANSPOSE(#REF!),Perf!$AM36:$BN36)/100</f>
        <v>#REF!</v>
      </c>
      <c r="C36" s="148" t="e" cm="1">
        <f t="array" ref="C36">SUMPRODUCT(TRANSPOSE(#REF!),Perf!$AM36:$BN36)/100</f>
        <v>#REF!</v>
      </c>
      <c r="D36" s="148" t="e" cm="1">
        <f t="array" ref="D36">SUMPRODUCT(TRANSPOSE(#REF!),Perf!$AM36:$BN36)/100</f>
        <v>#REF!</v>
      </c>
      <c r="E36" s="148" t="e" cm="1">
        <f t="array" ref="E36">SUMPRODUCT(TRANSPOSE(#REF!),Perf!$AM36:$BN36)/100</f>
        <v>#REF!</v>
      </c>
      <c r="F36" s="148" t="e" cm="1">
        <f t="array" ref="F36">SUMPRODUCT(TRANSPOSE(#REF!),Perf!$AM36:$BN36)/100</f>
        <v>#REF!</v>
      </c>
      <c r="G36" s="148" t="e">
        <f t="shared" si="9"/>
        <v>#REF!</v>
      </c>
      <c r="H36" s="148"/>
      <c r="I36" s="160">
        <f t="shared" si="33"/>
        <v>45107</v>
      </c>
      <c r="J36" s="148" t="e">
        <f t="shared" si="19"/>
        <v>#REF!</v>
      </c>
      <c r="K36" s="148" t="e">
        <f t="shared" si="20"/>
        <v>#REF!</v>
      </c>
      <c r="L36" s="148" t="e">
        <f t="shared" si="21"/>
        <v>#REF!</v>
      </c>
      <c r="M36" s="148" t="e">
        <f t="shared" si="22"/>
        <v>#REF!</v>
      </c>
      <c r="N36" s="148" t="e">
        <f t="shared" si="23"/>
        <v>#REF!</v>
      </c>
      <c r="O36" s="148" t="e">
        <f t="shared" si="24"/>
        <v>#REF!</v>
      </c>
      <c r="P36" s="148"/>
      <c r="Q36" s="160">
        <f t="shared" si="12"/>
        <v>45138</v>
      </c>
      <c r="R36" s="148" t="e">
        <f t="shared" si="13"/>
        <v>#REF!</v>
      </c>
      <c r="S36" s="148" t="e">
        <f t="shared" si="14"/>
        <v>#REF!</v>
      </c>
      <c r="T36" s="148" t="e">
        <f t="shared" si="15"/>
        <v>#REF!</v>
      </c>
      <c r="U36" s="148" t="e">
        <f t="shared" si="16"/>
        <v>#REF!</v>
      </c>
      <c r="V36" s="148" t="e">
        <f t="shared" si="17"/>
        <v>#REF!</v>
      </c>
      <c r="W36" s="148"/>
      <c r="X36" s="160" t="s">
        <v>430</v>
      </c>
      <c r="Y36" s="171" t="e">
        <f>B1</f>
        <v>#REF!</v>
      </c>
      <c r="Z36" s="171" t="e">
        <f>C1</f>
        <v>#REF!</v>
      </c>
      <c r="AA36" s="171" t="e">
        <f>D1</f>
        <v>#REF!</v>
      </c>
      <c r="AB36" s="171" t="e">
        <f>E1</f>
        <v>#REF!</v>
      </c>
      <c r="AC36" s="171" t="e">
        <f>F1</f>
        <v>#REF!</v>
      </c>
      <c r="AD36" s="148"/>
      <c r="AE36" s="160">
        <f t="shared" si="26"/>
        <v>45138</v>
      </c>
      <c r="AF36" s="170" t="e">
        <f t="shared" si="28"/>
        <v>#REF!</v>
      </c>
      <c r="AG36" s="170" t="e">
        <f t="shared" si="29"/>
        <v>#REF!</v>
      </c>
      <c r="AH36" s="170" t="e">
        <f t="shared" si="30"/>
        <v>#REF!</v>
      </c>
      <c r="AI36" s="170" t="e">
        <f t="shared" si="31"/>
        <v>#REF!</v>
      </c>
      <c r="AJ36" s="170" t="e">
        <f t="shared" si="32"/>
        <v>#REF!</v>
      </c>
      <c r="AL36" s="151">
        <f>DB!A36</f>
        <v>45138</v>
      </c>
      <c r="AM36" s="149" t="e">
        <f>INDEX(DB!$B$2:$AB$62,MATCH(Perf!$AL36,DB!$A$2:$A$62,0),MATCH(Perf!AM$1,DB!$B$1:$AB$1,0))</f>
        <v>#REF!</v>
      </c>
      <c r="AN36" s="149" t="e">
        <f>INDEX(DB!$B$2:$AB$62,MATCH(Perf!$AL36,DB!$A$2:$A$62,0),MATCH(Perf!AN$1,DB!$B$1:$AB$1,0))</f>
        <v>#REF!</v>
      </c>
      <c r="AO36" s="149" t="e">
        <f>INDEX(DB!$B$2:$AB$62,MATCH(Perf!$AL36,DB!$A$2:$A$62,0),MATCH(Perf!AO$1,DB!$B$1:$AB$1,0))</f>
        <v>#REF!</v>
      </c>
      <c r="AP36" s="149" t="e">
        <f>INDEX(DB!$B$2:$AB$62,MATCH(Perf!$AL36,DB!$A$2:$A$62,0),MATCH(Perf!AP$1,DB!$B$1:$AB$1,0))</f>
        <v>#REF!</v>
      </c>
      <c r="AQ36" s="149" t="e">
        <f>INDEX(DB!$B$2:$AB$62,MATCH(Perf!$AL36,DB!$A$2:$A$62,0),MATCH(Perf!AQ$1,DB!$B$1:$AB$1,0))</f>
        <v>#REF!</v>
      </c>
      <c r="AR36" s="149" t="e">
        <f>INDEX(DB!$B$2:$AB$62,MATCH(Perf!$AL36,DB!$A$2:$A$62,0),MATCH(Perf!AR$1,DB!$B$1:$AB$1,0))</f>
        <v>#REF!</v>
      </c>
      <c r="AS36" s="149" t="e">
        <f>INDEX(DB!$B$2:$AB$62,MATCH(Perf!$AL36,DB!$A$2:$A$62,0),MATCH(Perf!AS$1,DB!$B$1:$AB$1,0))</f>
        <v>#REF!</v>
      </c>
      <c r="AT36" s="149" t="e">
        <f>INDEX(DB!$B$2:$AB$62,MATCH(Perf!$AL36,DB!$A$2:$A$62,0),MATCH(Perf!AT$1,DB!$B$1:$AB$1,0))</f>
        <v>#REF!</v>
      </c>
      <c r="AU36" s="149" t="e">
        <f>INDEX(DB!$B$2:$AB$62,MATCH(Perf!$AL36,DB!$A$2:$A$62,0),MATCH(Perf!AU$1,DB!$B$1:$AB$1,0))</f>
        <v>#REF!</v>
      </c>
      <c r="AV36" s="150" t="e">
        <f t="shared" si="4"/>
        <v>#REF!</v>
      </c>
      <c r="AW36" s="149" t="e">
        <f>INDEX(DB!$B$2:$AB$62,MATCH(Perf!$AL36,DB!$A$2:$A$62,0),MATCH(Perf!AW$1,DB!$B$1:$AB$1,0))</f>
        <v>#REF!</v>
      </c>
      <c r="AX36" s="149" t="e">
        <f>INDEX(DB!$B$2:$AB$62,MATCH(Perf!$AL36,DB!$A$2:$A$62,0),MATCH(Perf!AX$1,DB!$B$1:$AB$1,0))</f>
        <v>#REF!</v>
      </c>
      <c r="AY36" s="149" t="e">
        <f>INDEX(DB!$B$2:$AB$62,MATCH(Perf!$AL36,DB!$A$2:$A$62,0),MATCH(Perf!AY$1,DB!$B$1:$AB$1,0))</f>
        <v>#REF!</v>
      </c>
      <c r="AZ36" s="149" t="e">
        <f>INDEX(DB!$B$2:$AB$62,MATCH(Perf!$AL36,DB!$A$2:$A$62,0),MATCH(Perf!AZ$1,DB!$B$1:$AB$1,0))</f>
        <v>#REF!</v>
      </c>
      <c r="BA36" s="149" t="e">
        <f>INDEX(DB!$B$2:$AB$62,MATCH(Perf!$AL36,DB!$A$2:$A$62,0),MATCH(Perf!BA$1,DB!$B$1:$AB$1,0))</f>
        <v>#REF!</v>
      </c>
      <c r="BB36" s="149" t="e">
        <f>INDEX(DB!$B$2:$AB$62,MATCH(Perf!$AL36,DB!$A$2:$A$62,0),MATCH(Perf!BB$1,DB!$B$1:$AB$1,0))</f>
        <v>#REF!</v>
      </c>
      <c r="BC36" s="149" t="e">
        <f>INDEX(DB!$B$2:$AB$62,MATCH(Perf!$AL36,DB!$A$2:$A$62,0),MATCH(Perf!BC$1,DB!$B$1:$AB$1,0))</f>
        <v>#REF!</v>
      </c>
      <c r="BD36" s="149" t="e">
        <f>INDEX(DB!$B$2:$AB$62,MATCH(Perf!$AL36,DB!$A$2:$A$62,0),MATCH(Perf!BD$1,DB!$B$1:$AB$1,0))</f>
        <v>#REF!</v>
      </c>
      <c r="BE36" s="149" t="e">
        <f>INDEX(DB!$B$2:$AB$62,MATCH(Perf!$AL36,DB!$A$2:$A$62,0),MATCH(Perf!BE$1,DB!$B$1:$AB$1,0))</f>
        <v>#REF!</v>
      </c>
      <c r="BF36" s="149" t="e">
        <f>INDEX(DB!$B$2:$AB$62,MATCH(Perf!$AL36,DB!$A$2:$A$62,0),MATCH(Perf!BF$1,DB!$B$1:$AB$1,0))</f>
        <v>#REF!</v>
      </c>
      <c r="BG36" s="149" t="e">
        <f>INDEX(DB!$B$2:$AB$62,MATCH(Perf!$AL36,DB!$A$2:$A$62,0),MATCH(Perf!BG$1,DB!$B$1:$AB$1,0))</f>
        <v>#REF!</v>
      </c>
      <c r="BH36" s="149" t="e">
        <f>INDEX(DB!$B$2:$AB$62,MATCH(Perf!$AL36,DB!$A$2:$A$62,0),MATCH(Perf!BH$1,DB!$B$1:$AB$1,0))</f>
        <v>#REF!</v>
      </c>
      <c r="BI36" s="149" t="e">
        <f>INDEX(DB!$B$2:$AB$62,MATCH(Perf!$AL36,DB!$A$2:$A$62,0),MATCH(Perf!BI$1,DB!$B$1:$AB$1,0))</f>
        <v>#REF!</v>
      </c>
      <c r="BJ36" s="149" t="e">
        <f t="shared" si="18"/>
        <v>#REF!</v>
      </c>
      <c r="BK36" s="149" t="e">
        <f>INDEX(DB!$B$2:$AB$62,MATCH(Perf!$AL36,DB!$A$2:$A$62,0),MATCH(Perf!BK$1,DB!$B$1:$AB$1,0))</f>
        <v>#REF!</v>
      </c>
      <c r="BL36" s="149" t="e">
        <f>INDEX(DB!$B$2:$AB$62,MATCH(Perf!$AL36,DB!$A$2:$A$62,0),MATCH(Perf!BL$1,DB!$B$1:$AB$1,0))</f>
        <v>#REF!</v>
      </c>
      <c r="BM36" s="149" t="e">
        <f>INDEX(DB!$B$2:$AB$62,MATCH(Perf!$AL36,DB!$A$2:$A$62,0),MATCH(Perf!BM$1,DB!$B$1:$AB$1,0))</f>
        <v>#REF!</v>
      </c>
    </row>
    <row r="37" spans="1:65" x14ac:dyDescent="0.15">
      <c r="A37" s="151">
        <f t="shared" si="8"/>
        <v>45169</v>
      </c>
      <c r="B37" s="148" t="e" cm="1">
        <f t="array" ref="B37">SUMPRODUCT(TRANSPOSE(#REF!),Perf!$AM37:$BN37)/100</f>
        <v>#REF!</v>
      </c>
      <c r="C37" s="148" t="e" cm="1">
        <f t="array" ref="C37">SUMPRODUCT(TRANSPOSE(#REF!),Perf!$AM37:$BN37)/100</f>
        <v>#REF!</v>
      </c>
      <c r="D37" s="148" t="e" cm="1">
        <f t="array" ref="D37">SUMPRODUCT(TRANSPOSE(#REF!),Perf!$AM37:$BN37)/100</f>
        <v>#REF!</v>
      </c>
      <c r="E37" s="148" t="e" cm="1">
        <f t="array" ref="E37">SUMPRODUCT(TRANSPOSE(#REF!),Perf!$AM37:$BN37)/100</f>
        <v>#REF!</v>
      </c>
      <c r="F37" s="148" t="e" cm="1">
        <f t="array" ref="F37">SUMPRODUCT(TRANSPOSE(#REF!),Perf!$AM37:$BN37)/100</f>
        <v>#REF!</v>
      </c>
      <c r="G37" s="148" t="e">
        <f t="shared" si="9"/>
        <v>#REF!</v>
      </c>
      <c r="H37" s="148"/>
      <c r="I37" s="160">
        <f t="shared" si="33"/>
        <v>45138</v>
      </c>
      <c r="J37" s="148" t="e">
        <f t="shared" si="19"/>
        <v>#REF!</v>
      </c>
      <c r="K37" s="148" t="e">
        <f t="shared" si="20"/>
        <v>#REF!</v>
      </c>
      <c r="L37" s="148" t="e">
        <f t="shared" si="21"/>
        <v>#REF!</v>
      </c>
      <c r="M37" s="148" t="e">
        <f t="shared" si="22"/>
        <v>#REF!</v>
      </c>
      <c r="N37" s="148" t="e">
        <f t="shared" si="23"/>
        <v>#REF!</v>
      </c>
      <c r="O37" s="148" t="e">
        <f t="shared" si="24"/>
        <v>#REF!</v>
      </c>
      <c r="P37" s="148"/>
      <c r="Q37" s="160">
        <f t="shared" si="12"/>
        <v>45169</v>
      </c>
      <c r="R37" s="148" t="e">
        <f t="shared" si="13"/>
        <v>#REF!</v>
      </c>
      <c r="S37" s="148" t="e">
        <f t="shared" si="14"/>
        <v>#REF!</v>
      </c>
      <c r="T37" s="148" t="e">
        <f t="shared" si="15"/>
        <v>#REF!</v>
      </c>
      <c r="U37" s="148" t="e">
        <f t="shared" si="16"/>
        <v>#REF!</v>
      </c>
      <c r="V37" s="148" t="e">
        <f t="shared" si="17"/>
        <v>#REF!</v>
      </c>
      <c r="W37" s="148"/>
      <c r="X37" s="160">
        <f t="shared" ref="X37:X62" si="34">A37</f>
        <v>45169</v>
      </c>
      <c r="Y37" s="169" t="e" cm="1">
        <f t="array" ref="Y37">AnnualReturn(R2:R37)</f>
        <v>#VALUE!</v>
      </c>
      <c r="Z37" s="169" t="e" cm="1">
        <f t="array" ref="Z37">AnnualReturn(S2:S37)</f>
        <v>#VALUE!</v>
      </c>
      <c r="AA37" s="169" t="e" cm="1">
        <f t="array" ref="AA37">AnnualReturn(T2:T37)</f>
        <v>#VALUE!</v>
      </c>
      <c r="AB37" s="169" t="e" cm="1">
        <f t="array" ref="AB37">AnnualReturn(U2:U37)</f>
        <v>#VALUE!</v>
      </c>
      <c r="AC37" s="169" t="e" cm="1">
        <f t="array" ref="AC37">AnnualReturn(V2:V37)</f>
        <v>#VALUE!</v>
      </c>
      <c r="AD37" s="148"/>
      <c r="AE37" s="160">
        <f t="shared" si="26"/>
        <v>45169</v>
      </c>
      <c r="AF37" s="170" t="e">
        <f t="shared" si="28"/>
        <v>#REF!</v>
      </c>
      <c r="AG37" s="170" t="e">
        <f t="shared" si="29"/>
        <v>#REF!</v>
      </c>
      <c r="AH37" s="170" t="e">
        <f t="shared" si="30"/>
        <v>#REF!</v>
      </c>
      <c r="AI37" s="170" t="e">
        <f t="shared" si="31"/>
        <v>#REF!</v>
      </c>
      <c r="AJ37" s="170" t="e">
        <f t="shared" si="32"/>
        <v>#REF!</v>
      </c>
      <c r="AL37" s="151">
        <f>DB!A37</f>
        <v>45169</v>
      </c>
      <c r="AM37" s="149" t="e">
        <f>INDEX(DB!$B$2:$AB$62,MATCH(Perf!$AL37,DB!$A$2:$A$62,0),MATCH(Perf!AM$1,DB!$B$1:$AB$1,0))</f>
        <v>#REF!</v>
      </c>
      <c r="AN37" s="149" t="e">
        <f>INDEX(DB!$B$2:$AB$62,MATCH(Perf!$AL37,DB!$A$2:$A$62,0),MATCH(Perf!AN$1,DB!$B$1:$AB$1,0))</f>
        <v>#REF!</v>
      </c>
      <c r="AO37" s="149" t="e">
        <f>INDEX(DB!$B$2:$AB$62,MATCH(Perf!$AL37,DB!$A$2:$A$62,0),MATCH(Perf!AO$1,DB!$B$1:$AB$1,0))</f>
        <v>#REF!</v>
      </c>
      <c r="AP37" s="149" t="e">
        <f>INDEX(DB!$B$2:$AB$62,MATCH(Perf!$AL37,DB!$A$2:$A$62,0),MATCH(Perf!AP$1,DB!$B$1:$AB$1,0))</f>
        <v>#REF!</v>
      </c>
      <c r="AQ37" s="149" t="e">
        <f>INDEX(DB!$B$2:$AB$62,MATCH(Perf!$AL37,DB!$A$2:$A$62,0),MATCH(Perf!AQ$1,DB!$B$1:$AB$1,0))</f>
        <v>#REF!</v>
      </c>
      <c r="AR37" s="149" t="e">
        <f>INDEX(DB!$B$2:$AB$62,MATCH(Perf!$AL37,DB!$A$2:$A$62,0),MATCH(Perf!AR$1,DB!$B$1:$AB$1,0))</f>
        <v>#REF!</v>
      </c>
      <c r="AS37" s="149" t="e">
        <f>INDEX(DB!$B$2:$AB$62,MATCH(Perf!$AL37,DB!$A$2:$A$62,0),MATCH(Perf!AS$1,DB!$B$1:$AB$1,0))</f>
        <v>#REF!</v>
      </c>
      <c r="AT37" s="149" t="e">
        <f>INDEX(DB!$B$2:$AB$62,MATCH(Perf!$AL37,DB!$A$2:$A$62,0),MATCH(Perf!AT$1,DB!$B$1:$AB$1,0))</f>
        <v>#REF!</v>
      </c>
      <c r="AU37" s="149" t="e">
        <f>INDEX(DB!$B$2:$AB$62,MATCH(Perf!$AL37,DB!$A$2:$A$62,0),MATCH(Perf!AU$1,DB!$B$1:$AB$1,0))</f>
        <v>#REF!</v>
      </c>
      <c r="AV37" s="150" t="e">
        <f t="shared" si="4"/>
        <v>#REF!</v>
      </c>
      <c r="AW37" s="149" t="e">
        <f>INDEX(DB!$B$2:$AB$62,MATCH(Perf!$AL37,DB!$A$2:$A$62,0),MATCH(Perf!AW$1,DB!$B$1:$AB$1,0))</f>
        <v>#REF!</v>
      </c>
      <c r="AX37" s="149" t="e">
        <f>INDEX(DB!$B$2:$AB$62,MATCH(Perf!$AL37,DB!$A$2:$A$62,0),MATCH(Perf!AX$1,DB!$B$1:$AB$1,0))</f>
        <v>#REF!</v>
      </c>
      <c r="AY37" s="149" t="e">
        <f>INDEX(DB!$B$2:$AB$62,MATCH(Perf!$AL37,DB!$A$2:$A$62,0),MATCH(Perf!AY$1,DB!$B$1:$AB$1,0))</f>
        <v>#REF!</v>
      </c>
      <c r="AZ37" s="149" t="e">
        <f>INDEX(DB!$B$2:$AB$62,MATCH(Perf!$AL37,DB!$A$2:$A$62,0),MATCH(Perf!AZ$1,DB!$B$1:$AB$1,0))</f>
        <v>#REF!</v>
      </c>
      <c r="BA37" s="149" t="e">
        <f>INDEX(DB!$B$2:$AB$62,MATCH(Perf!$AL37,DB!$A$2:$A$62,0),MATCH(Perf!BA$1,DB!$B$1:$AB$1,0))</f>
        <v>#REF!</v>
      </c>
      <c r="BB37" s="149" t="e">
        <f>INDEX(DB!$B$2:$AB$62,MATCH(Perf!$AL37,DB!$A$2:$A$62,0),MATCH(Perf!BB$1,DB!$B$1:$AB$1,0))</f>
        <v>#REF!</v>
      </c>
      <c r="BC37" s="149" t="e">
        <f>INDEX(DB!$B$2:$AB$62,MATCH(Perf!$AL37,DB!$A$2:$A$62,0),MATCH(Perf!BC$1,DB!$B$1:$AB$1,0))</f>
        <v>#REF!</v>
      </c>
      <c r="BD37" s="149" t="e">
        <f>INDEX(DB!$B$2:$AB$62,MATCH(Perf!$AL37,DB!$A$2:$A$62,0),MATCH(Perf!BD$1,DB!$B$1:$AB$1,0))</f>
        <v>#REF!</v>
      </c>
      <c r="BE37" s="149" t="e">
        <f>INDEX(DB!$B$2:$AB$62,MATCH(Perf!$AL37,DB!$A$2:$A$62,0),MATCH(Perf!BE$1,DB!$B$1:$AB$1,0))</f>
        <v>#REF!</v>
      </c>
      <c r="BF37" s="149" t="e">
        <f>INDEX(DB!$B$2:$AB$62,MATCH(Perf!$AL37,DB!$A$2:$A$62,0),MATCH(Perf!BF$1,DB!$B$1:$AB$1,0))</f>
        <v>#REF!</v>
      </c>
      <c r="BG37" s="149" t="e">
        <f>INDEX(DB!$B$2:$AB$62,MATCH(Perf!$AL37,DB!$A$2:$A$62,0),MATCH(Perf!BG$1,DB!$B$1:$AB$1,0))</f>
        <v>#REF!</v>
      </c>
      <c r="BH37" s="149" t="e">
        <f>INDEX(DB!$B$2:$AB$62,MATCH(Perf!$AL37,DB!$A$2:$A$62,0),MATCH(Perf!BH$1,DB!$B$1:$AB$1,0))</f>
        <v>#REF!</v>
      </c>
      <c r="BI37" s="149" t="e">
        <f>INDEX(DB!$B$2:$AB$62,MATCH(Perf!$AL37,DB!$A$2:$A$62,0),MATCH(Perf!BI$1,DB!$B$1:$AB$1,0))</f>
        <v>#REF!</v>
      </c>
      <c r="BJ37" s="149" t="e">
        <f t="shared" si="18"/>
        <v>#REF!</v>
      </c>
      <c r="BK37" s="149" t="e">
        <f>INDEX(DB!$B$2:$AB$62,MATCH(Perf!$AL37,DB!$A$2:$A$62,0),MATCH(Perf!BK$1,DB!$B$1:$AB$1,0))</f>
        <v>#REF!</v>
      </c>
      <c r="BL37" s="149" t="e">
        <f>INDEX(DB!$B$2:$AB$62,MATCH(Perf!$AL37,DB!$A$2:$A$62,0),MATCH(Perf!BL$1,DB!$B$1:$AB$1,0))</f>
        <v>#REF!</v>
      </c>
      <c r="BM37" s="149" t="e">
        <f>INDEX(DB!$B$2:$AB$62,MATCH(Perf!$AL37,DB!$A$2:$A$62,0),MATCH(Perf!BM$1,DB!$B$1:$AB$1,0))</f>
        <v>#REF!</v>
      </c>
    </row>
    <row r="38" spans="1:65" x14ac:dyDescent="0.15">
      <c r="A38" s="151">
        <f t="shared" si="8"/>
        <v>45199</v>
      </c>
      <c r="B38" s="148" t="e" cm="1">
        <f t="array" ref="B38">SUMPRODUCT(TRANSPOSE(#REF!),Perf!$AM38:$BN38)/100</f>
        <v>#REF!</v>
      </c>
      <c r="C38" s="148" t="e" cm="1">
        <f t="array" ref="C38">SUMPRODUCT(TRANSPOSE(#REF!),Perf!$AM38:$BN38)/100</f>
        <v>#REF!</v>
      </c>
      <c r="D38" s="148" t="e" cm="1">
        <f t="array" ref="D38">SUMPRODUCT(TRANSPOSE(#REF!),Perf!$AM38:$BN38)/100</f>
        <v>#REF!</v>
      </c>
      <c r="E38" s="148" t="e" cm="1">
        <f t="array" ref="E38">SUMPRODUCT(TRANSPOSE(#REF!),Perf!$AM38:$BN38)/100</f>
        <v>#REF!</v>
      </c>
      <c r="F38" s="148" t="e" cm="1">
        <f t="array" ref="F38">SUMPRODUCT(TRANSPOSE(#REF!),Perf!$AM38:$BN38)/100</f>
        <v>#REF!</v>
      </c>
      <c r="G38" s="148" t="e">
        <f t="shared" si="9"/>
        <v>#REF!</v>
      </c>
      <c r="H38" s="148"/>
      <c r="I38" s="160">
        <f t="shared" si="33"/>
        <v>45169</v>
      </c>
      <c r="J38" s="148" t="e">
        <f t="shared" si="19"/>
        <v>#REF!</v>
      </c>
      <c r="K38" s="148" t="e">
        <f t="shared" si="20"/>
        <v>#REF!</v>
      </c>
      <c r="L38" s="148" t="e">
        <f t="shared" si="21"/>
        <v>#REF!</v>
      </c>
      <c r="M38" s="148" t="e">
        <f t="shared" si="22"/>
        <v>#REF!</v>
      </c>
      <c r="N38" s="148" t="e">
        <f t="shared" si="23"/>
        <v>#REF!</v>
      </c>
      <c r="O38" s="148" t="e">
        <f t="shared" si="24"/>
        <v>#REF!</v>
      </c>
      <c r="P38" s="148"/>
      <c r="Q38" s="160">
        <f t="shared" si="12"/>
        <v>45199</v>
      </c>
      <c r="R38" s="148" t="e">
        <f t="shared" si="13"/>
        <v>#REF!</v>
      </c>
      <c r="S38" s="148" t="e">
        <f t="shared" si="14"/>
        <v>#REF!</v>
      </c>
      <c r="T38" s="148" t="e">
        <f t="shared" si="15"/>
        <v>#REF!</v>
      </c>
      <c r="U38" s="148" t="e">
        <f t="shared" si="16"/>
        <v>#REF!</v>
      </c>
      <c r="V38" s="148" t="e">
        <f t="shared" si="17"/>
        <v>#REF!</v>
      </c>
      <c r="W38" s="148"/>
      <c r="X38" s="160">
        <f t="shared" si="34"/>
        <v>45199</v>
      </c>
      <c r="Y38" s="169" t="e" cm="1">
        <f t="array" ref="Y38">AnnualReturn(R3:R38)</f>
        <v>#VALUE!</v>
      </c>
      <c r="Z38" s="169" t="e" cm="1">
        <f t="array" ref="Z38">AnnualReturn(S3:S38)</f>
        <v>#VALUE!</v>
      </c>
      <c r="AA38" s="169" t="e" cm="1">
        <f t="array" ref="AA38">AnnualReturn(T3:T38)</f>
        <v>#VALUE!</v>
      </c>
      <c r="AB38" s="169" t="e" cm="1">
        <f t="array" ref="AB38">AnnualReturn(U3:U38)</f>
        <v>#VALUE!</v>
      </c>
      <c r="AC38" s="169" t="e" cm="1">
        <f t="array" ref="AC38">AnnualReturn(V3:V38)</f>
        <v>#VALUE!</v>
      </c>
      <c r="AD38" s="148"/>
      <c r="AE38" s="160">
        <f t="shared" si="26"/>
        <v>45199</v>
      </c>
      <c r="AF38" s="170" t="e">
        <f t="shared" si="28"/>
        <v>#REF!</v>
      </c>
      <c r="AG38" s="170" t="e">
        <f t="shared" si="29"/>
        <v>#REF!</v>
      </c>
      <c r="AH38" s="170" t="e">
        <f t="shared" si="30"/>
        <v>#REF!</v>
      </c>
      <c r="AI38" s="170" t="e">
        <f t="shared" si="31"/>
        <v>#REF!</v>
      </c>
      <c r="AJ38" s="170" t="e">
        <f t="shared" si="32"/>
        <v>#REF!</v>
      </c>
      <c r="AL38" s="151">
        <f>DB!A38</f>
        <v>45199</v>
      </c>
      <c r="AM38" s="149" t="e">
        <f>INDEX(DB!$B$2:$AB$62,MATCH(Perf!$AL38,DB!$A$2:$A$62,0),MATCH(Perf!AM$1,DB!$B$1:$AB$1,0))</f>
        <v>#REF!</v>
      </c>
      <c r="AN38" s="149" t="e">
        <f>INDEX(DB!$B$2:$AB$62,MATCH(Perf!$AL38,DB!$A$2:$A$62,0),MATCH(Perf!AN$1,DB!$B$1:$AB$1,0))</f>
        <v>#REF!</v>
      </c>
      <c r="AO38" s="149" t="e">
        <f>INDEX(DB!$B$2:$AB$62,MATCH(Perf!$AL38,DB!$A$2:$A$62,0),MATCH(Perf!AO$1,DB!$B$1:$AB$1,0))</f>
        <v>#REF!</v>
      </c>
      <c r="AP38" s="149" t="e">
        <f>INDEX(DB!$B$2:$AB$62,MATCH(Perf!$AL38,DB!$A$2:$A$62,0),MATCH(Perf!AP$1,DB!$B$1:$AB$1,0))</f>
        <v>#REF!</v>
      </c>
      <c r="AQ38" s="149" t="e">
        <f>INDEX(DB!$B$2:$AB$62,MATCH(Perf!$AL38,DB!$A$2:$A$62,0),MATCH(Perf!AQ$1,DB!$B$1:$AB$1,0))</f>
        <v>#REF!</v>
      </c>
      <c r="AR38" s="149" t="e">
        <f>INDEX(DB!$B$2:$AB$62,MATCH(Perf!$AL38,DB!$A$2:$A$62,0),MATCH(Perf!AR$1,DB!$B$1:$AB$1,0))</f>
        <v>#REF!</v>
      </c>
      <c r="AS38" s="149" t="e">
        <f>INDEX(DB!$B$2:$AB$62,MATCH(Perf!$AL38,DB!$A$2:$A$62,0),MATCH(Perf!AS$1,DB!$B$1:$AB$1,0))</f>
        <v>#REF!</v>
      </c>
      <c r="AT38" s="149" t="e">
        <f>INDEX(DB!$B$2:$AB$62,MATCH(Perf!$AL38,DB!$A$2:$A$62,0),MATCH(Perf!AT$1,DB!$B$1:$AB$1,0))</f>
        <v>#REF!</v>
      </c>
      <c r="AU38" s="149" t="e">
        <f>INDEX(DB!$B$2:$AB$62,MATCH(Perf!$AL38,DB!$A$2:$A$62,0),MATCH(Perf!AU$1,DB!$B$1:$AB$1,0))</f>
        <v>#REF!</v>
      </c>
      <c r="AV38" s="150" t="e">
        <f t="shared" si="4"/>
        <v>#REF!</v>
      </c>
      <c r="AW38" s="149" t="e">
        <f>INDEX(DB!$B$2:$AB$62,MATCH(Perf!$AL38,DB!$A$2:$A$62,0),MATCH(Perf!AW$1,DB!$B$1:$AB$1,0))</f>
        <v>#REF!</v>
      </c>
      <c r="AX38" s="149" t="e">
        <f>INDEX(DB!$B$2:$AB$62,MATCH(Perf!$AL38,DB!$A$2:$A$62,0),MATCH(Perf!AX$1,DB!$B$1:$AB$1,0))</f>
        <v>#REF!</v>
      </c>
      <c r="AY38" s="149" t="e">
        <f>INDEX(DB!$B$2:$AB$62,MATCH(Perf!$AL38,DB!$A$2:$A$62,0),MATCH(Perf!AY$1,DB!$B$1:$AB$1,0))</f>
        <v>#REF!</v>
      </c>
      <c r="AZ38" s="149" t="e">
        <f>INDEX(DB!$B$2:$AB$62,MATCH(Perf!$AL38,DB!$A$2:$A$62,0),MATCH(Perf!AZ$1,DB!$B$1:$AB$1,0))</f>
        <v>#REF!</v>
      </c>
      <c r="BA38" s="149" t="e">
        <f>INDEX(DB!$B$2:$AB$62,MATCH(Perf!$AL38,DB!$A$2:$A$62,0),MATCH(Perf!BA$1,DB!$B$1:$AB$1,0))</f>
        <v>#REF!</v>
      </c>
      <c r="BB38" s="149" t="e">
        <f>INDEX(DB!$B$2:$AB$62,MATCH(Perf!$AL38,DB!$A$2:$A$62,0),MATCH(Perf!BB$1,DB!$B$1:$AB$1,0))</f>
        <v>#REF!</v>
      </c>
      <c r="BC38" s="149" t="e">
        <f>INDEX(DB!$B$2:$AB$62,MATCH(Perf!$AL38,DB!$A$2:$A$62,0),MATCH(Perf!BC$1,DB!$B$1:$AB$1,0))</f>
        <v>#REF!</v>
      </c>
      <c r="BD38" s="149" t="e">
        <f>INDEX(DB!$B$2:$AB$62,MATCH(Perf!$AL38,DB!$A$2:$A$62,0),MATCH(Perf!BD$1,DB!$B$1:$AB$1,0))</f>
        <v>#REF!</v>
      </c>
      <c r="BE38" s="149" t="e">
        <f>INDEX(DB!$B$2:$AB$62,MATCH(Perf!$AL38,DB!$A$2:$A$62,0),MATCH(Perf!BE$1,DB!$B$1:$AB$1,0))</f>
        <v>#REF!</v>
      </c>
      <c r="BF38" s="149" t="e">
        <f>INDEX(DB!$B$2:$AB$62,MATCH(Perf!$AL38,DB!$A$2:$A$62,0),MATCH(Perf!BF$1,DB!$B$1:$AB$1,0))</f>
        <v>#REF!</v>
      </c>
      <c r="BG38" s="149" t="e">
        <f>INDEX(DB!$B$2:$AB$62,MATCH(Perf!$AL38,DB!$A$2:$A$62,0),MATCH(Perf!BG$1,DB!$B$1:$AB$1,0))</f>
        <v>#REF!</v>
      </c>
      <c r="BH38" s="149" t="e">
        <f>INDEX(DB!$B$2:$AB$62,MATCH(Perf!$AL38,DB!$A$2:$A$62,0),MATCH(Perf!BH$1,DB!$B$1:$AB$1,0))</f>
        <v>#REF!</v>
      </c>
      <c r="BI38" s="149" t="e">
        <f>INDEX(DB!$B$2:$AB$62,MATCH(Perf!$AL38,DB!$A$2:$A$62,0),MATCH(Perf!BI$1,DB!$B$1:$AB$1,0))</f>
        <v>#REF!</v>
      </c>
      <c r="BJ38" s="149" t="e">
        <f t="shared" si="18"/>
        <v>#REF!</v>
      </c>
      <c r="BK38" s="149" t="e">
        <f>INDEX(DB!$B$2:$AB$62,MATCH(Perf!$AL38,DB!$A$2:$A$62,0),MATCH(Perf!BK$1,DB!$B$1:$AB$1,0))</f>
        <v>#REF!</v>
      </c>
      <c r="BL38" s="149" t="e">
        <f>INDEX(DB!$B$2:$AB$62,MATCH(Perf!$AL38,DB!$A$2:$A$62,0),MATCH(Perf!BL$1,DB!$B$1:$AB$1,0))</f>
        <v>#REF!</v>
      </c>
      <c r="BM38" s="149" t="e">
        <f>INDEX(DB!$B$2:$AB$62,MATCH(Perf!$AL38,DB!$A$2:$A$62,0),MATCH(Perf!BM$1,DB!$B$1:$AB$1,0))</f>
        <v>#REF!</v>
      </c>
    </row>
    <row r="39" spans="1:65" x14ac:dyDescent="0.15">
      <c r="A39" s="151">
        <f t="shared" si="8"/>
        <v>45230</v>
      </c>
      <c r="B39" s="148" t="e" cm="1">
        <f t="array" ref="B39">SUMPRODUCT(TRANSPOSE(#REF!),Perf!$AM39:$BN39)/100</f>
        <v>#REF!</v>
      </c>
      <c r="C39" s="148" t="e" cm="1">
        <f t="array" ref="C39">SUMPRODUCT(TRANSPOSE(#REF!),Perf!$AM39:$BN39)/100</f>
        <v>#REF!</v>
      </c>
      <c r="D39" s="148" t="e" cm="1">
        <f t="array" ref="D39">SUMPRODUCT(TRANSPOSE(#REF!),Perf!$AM39:$BN39)/100</f>
        <v>#REF!</v>
      </c>
      <c r="E39" s="148" t="e" cm="1">
        <f t="array" ref="E39">SUMPRODUCT(TRANSPOSE(#REF!),Perf!$AM39:$BN39)/100</f>
        <v>#REF!</v>
      </c>
      <c r="F39" s="148" t="e" cm="1">
        <f t="array" ref="F39">SUMPRODUCT(TRANSPOSE(#REF!),Perf!$AM39:$BN39)/100</f>
        <v>#REF!</v>
      </c>
      <c r="G39" s="148" t="e">
        <f t="shared" si="9"/>
        <v>#REF!</v>
      </c>
      <c r="H39" s="148"/>
      <c r="I39" s="160">
        <f t="shared" si="33"/>
        <v>45199</v>
      </c>
      <c r="J39" s="148" t="e">
        <f t="shared" si="19"/>
        <v>#REF!</v>
      </c>
      <c r="K39" s="148" t="e">
        <f t="shared" si="20"/>
        <v>#REF!</v>
      </c>
      <c r="L39" s="148" t="e">
        <f t="shared" si="21"/>
        <v>#REF!</v>
      </c>
      <c r="M39" s="148" t="e">
        <f t="shared" si="22"/>
        <v>#REF!</v>
      </c>
      <c r="N39" s="148" t="e">
        <f t="shared" si="23"/>
        <v>#REF!</v>
      </c>
      <c r="O39" s="148" t="e">
        <f t="shared" si="24"/>
        <v>#REF!</v>
      </c>
      <c r="P39" s="148"/>
      <c r="Q39" s="160">
        <f t="shared" si="12"/>
        <v>45230</v>
      </c>
      <c r="R39" s="148" t="e">
        <f t="shared" si="13"/>
        <v>#REF!</v>
      </c>
      <c r="S39" s="148" t="e">
        <f t="shared" si="14"/>
        <v>#REF!</v>
      </c>
      <c r="T39" s="148" t="e">
        <f t="shared" si="15"/>
        <v>#REF!</v>
      </c>
      <c r="U39" s="148" t="e">
        <f t="shared" si="16"/>
        <v>#REF!</v>
      </c>
      <c r="V39" s="148" t="e">
        <f t="shared" si="17"/>
        <v>#REF!</v>
      </c>
      <c r="W39" s="148"/>
      <c r="X39" s="160">
        <f t="shared" si="34"/>
        <v>45230</v>
      </c>
      <c r="Y39" s="169" t="e" cm="1">
        <f t="array" ref="Y39">AnnualReturn(R4:R39)</f>
        <v>#VALUE!</v>
      </c>
      <c r="Z39" s="169" t="e" cm="1">
        <f t="array" ref="Z39">AnnualReturn(S4:S39)</f>
        <v>#VALUE!</v>
      </c>
      <c r="AA39" s="169" t="e" cm="1">
        <f t="array" ref="AA39">AnnualReturn(T4:T39)</f>
        <v>#VALUE!</v>
      </c>
      <c r="AB39" s="169" t="e" cm="1">
        <f t="array" ref="AB39">AnnualReturn(U4:U39)</f>
        <v>#VALUE!</v>
      </c>
      <c r="AC39" s="169" t="e" cm="1">
        <f t="array" ref="AC39">AnnualReturn(V4:V39)</f>
        <v>#VALUE!</v>
      </c>
      <c r="AD39" s="148"/>
      <c r="AE39" s="160">
        <f t="shared" si="26"/>
        <v>45230</v>
      </c>
      <c r="AF39" s="170" t="e">
        <f t="shared" si="28"/>
        <v>#REF!</v>
      </c>
      <c r="AG39" s="170" t="e">
        <f t="shared" si="29"/>
        <v>#REF!</v>
      </c>
      <c r="AH39" s="170" t="e">
        <f t="shared" si="30"/>
        <v>#REF!</v>
      </c>
      <c r="AI39" s="170" t="e">
        <f t="shared" si="31"/>
        <v>#REF!</v>
      </c>
      <c r="AJ39" s="170" t="e">
        <f t="shared" si="32"/>
        <v>#REF!</v>
      </c>
      <c r="AL39" s="151">
        <f>DB!A39</f>
        <v>45230</v>
      </c>
      <c r="AM39" s="149" t="e">
        <f>INDEX(DB!$B$2:$AB$62,MATCH(Perf!$AL39,DB!$A$2:$A$62,0),MATCH(Perf!AM$1,DB!$B$1:$AB$1,0))</f>
        <v>#REF!</v>
      </c>
      <c r="AN39" s="149" t="e">
        <f>INDEX(DB!$B$2:$AB$62,MATCH(Perf!$AL39,DB!$A$2:$A$62,0),MATCH(Perf!AN$1,DB!$B$1:$AB$1,0))</f>
        <v>#REF!</v>
      </c>
      <c r="AO39" s="149" t="e">
        <f>INDEX(DB!$B$2:$AB$62,MATCH(Perf!$AL39,DB!$A$2:$A$62,0),MATCH(Perf!AO$1,DB!$B$1:$AB$1,0))</f>
        <v>#REF!</v>
      </c>
      <c r="AP39" s="149" t="e">
        <f>INDEX(DB!$B$2:$AB$62,MATCH(Perf!$AL39,DB!$A$2:$A$62,0),MATCH(Perf!AP$1,DB!$B$1:$AB$1,0))</f>
        <v>#REF!</v>
      </c>
      <c r="AQ39" s="149" t="e">
        <f>INDEX(DB!$B$2:$AB$62,MATCH(Perf!$AL39,DB!$A$2:$A$62,0),MATCH(Perf!AQ$1,DB!$B$1:$AB$1,0))</f>
        <v>#REF!</v>
      </c>
      <c r="AR39" s="149" t="e">
        <f>INDEX(DB!$B$2:$AB$62,MATCH(Perf!$AL39,DB!$A$2:$A$62,0),MATCH(Perf!AR$1,DB!$B$1:$AB$1,0))</f>
        <v>#REF!</v>
      </c>
      <c r="AS39" s="149" t="e">
        <f>INDEX(DB!$B$2:$AB$62,MATCH(Perf!$AL39,DB!$A$2:$A$62,0),MATCH(Perf!AS$1,DB!$B$1:$AB$1,0))</f>
        <v>#REF!</v>
      </c>
      <c r="AT39" s="149" t="e">
        <f>INDEX(DB!$B$2:$AB$62,MATCH(Perf!$AL39,DB!$A$2:$A$62,0),MATCH(Perf!AT$1,DB!$B$1:$AB$1,0))</f>
        <v>#REF!</v>
      </c>
      <c r="AU39" s="149" t="e">
        <f>INDEX(DB!$B$2:$AB$62,MATCH(Perf!$AL39,DB!$A$2:$A$62,0),MATCH(Perf!AU$1,DB!$B$1:$AB$1,0))</f>
        <v>#REF!</v>
      </c>
      <c r="AV39" s="150" t="e">
        <f t="shared" si="4"/>
        <v>#REF!</v>
      </c>
      <c r="AW39" s="149" t="e">
        <f>INDEX(DB!$B$2:$AB$62,MATCH(Perf!$AL39,DB!$A$2:$A$62,0),MATCH(Perf!AW$1,DB!$B$1:$AB$1,0))</f>
        <v>#REF!</v>
      </c>
      <c r="AX39" s="149" t="e">
        <f>INDEX(DB!$B$2:$AB$62,MATCH(Perf!$AL39,DB!$A$2:$A$62,0),MATCH(Perf!AX$1,DB!$B$1:$AB$1,0))</f>
        <v>#REF!</v>
      </c>
      <c r="AY39" s="149" t="e">
        <f>INDEX(DB!$B$2:$AB$62,MATCH(Perf!$AL39,DB!$A$2:$A$62,0),MATCH(Perf!AY$1,DB!$B$1:$AB$1,0))</f>
        <v>#REF!</v>
      </c>
      <c r="AZ39" s="149" t="e">
        <f>INDEX(DB!$B$2:$AB$62,MATCH(Perf!$AL39,DB!$A$2:$A$62,0),MATCH(Perf!AZ$1,DB!$B$1:$AB$1,0))</f>
        <v>#REF!</v>
      </c>
      <c r="BA39" s="149" t="e">
        <f>INDEX(DB!$B$2:$AB$62,MATCH(Perf!$AL39,DB!$A$2:$A$62,0),MATCH(Perf!BA$1,DB!$B$1:$AB$1,0))</f>
        <v>#REF!</v>
      </c>
      <c r="BB39" s="149" t="e">
        <f>INDEX(DB!$B$2:$AB$62,MATCH(Perf!$AL39,DB!$A$2:$A$62,0),MATCH(Perf!BB$1,DB!$B$1:$AB$1,0))</f>
        <v>#REF!</v>
      </c>
      <c r="BC39" s="149" t="e">
        <f>INDEX(DB!$B$2:$AB$62,MATCH(Perf!$AL39,DB!$A$2:$A$62,0),MATCH(Perf!BC$1,DB!$B$1:$AB$1,0))</f>
        <v>#REF!</v>
      </c>
      <c r="BD39" s="149" t="e">
        <f>INDEX(DB!$B$2:$AB$62,MATCH(Perf!$AL39,DB!$A$2:$A$62,0),MATCH(Perf!BD$1,DB!$B$1:$AB$1,0))</f>
        <v>#REF!</v>
      </c>
      <c r="BE39" s="149" t="e">
        <f>INDEX(DB!$B$2:$AB$62,MATCH(Perf!$AL39,DB!$A$2:$A$62,0),MATCH(Perf!BE$1,DB!$B$1:$AB$1,0))</f>
        <v>#REF!</v>
      </c>
      <c r="BF39" s="149" t="e">
        <f>INDEX(DB!$B$2:$AB$62,MATCH(Perf!$AL39,DB!$A$2:$A$62,0),MATCH(Perf!BF$1,DB!$B$1:$AB$1,0))</f>
        <v>#REF!</v>
      </c>
      <c r="BG39" s="149" t="e">
        <f>INDEX(DB!$B$2:$AB$62,MATCH(Perf!$AL39,DB!$A$2:$A$62,0),MATCH(Perf!BG$1,DB!$B$1:$AB$1,0))</f>
        <v>#REF!</v>
      </c>
      <c r="BH39" s="149" t="e">
        <f>INDEX(DB!$B$2:$AB$62,MATCH(Perf!$AL39,DB!$A$2:$A$62,0),MATCH(Perf!BH$1,DB!$B$1:$AB$1,0))</f>
        <v>#REF!</v>
      </c>
      <c r="BI39" s="149" t="e">
        <f>INDEX(DB!$B$2:$AB$62,MATCH(Perf!$AL39,DB!$A$2:$A$62,0),MATCH(Perf!BI$1,DB!$B$1:$AB$1,0))</f>
        <v>#REF!</v>
      </c>
      <c r="BJ39" s="149" t="e">
        <f t="shared" si="18"/>
        <v>#REF!</v>
      </c>
      <c r="BK39" s="149" t="e">
        <f>INDEX(DB!$B$2:$AB$62,MATCH(Perf!$AL39,DB!$A$2:$A$62,0),MATCH(Perf!BK$1,DB!$B$1:$AB$1,0))</f>
        <v>#REF!</v>
      </c>
      <c r="BL39" s="149" t="e">
        <f>INDEX(DB!$B$2:$AB$62,MATCH(Perf!$AL39,DB!$A$2:$A$62,0),MATCH(Perf!BL$1,DB!$B$1:$AB$1,0))</f>
        <v>#REF!</v>
      </c>
      <c r="BM39" s="149" t="e">
        <f>INDEX(DB!$B$2:$AB$62,MATCH(Perf!$AL39,DB!$A$2:$A$62,0),MATCH(Perf!BM$1,DB!$B$1:$AB$1,0))</f>
        <v>#REF!</v>
      </c>
    </row>
    <row r="40" spans="1:65" x14ac:dyDescent="0.15">
      <c r="A40" s="151">
        <f t="shared" si="8"/>
        <v>45260</v>
      </c>
      <c r="B40" s="148" t="e" cm="1">
        <f t="array" ref="B40">SUMPRODUCT(TRANSPOSE(#REF!),Perf!$AM40:$BN40)/100</f>
        <v>#REF!</v>
      </c>
      <c r="C40" s="148" t="e" cm="1">
        <f t="array" ref="C40">SUMPRODUCT(TRANSPOSE(#REF!),Perf!$AM40:$BN40)/100</f>
        <v>#REF!</v>
      </c>
      <c r="D40" s="148" t="e" cm="1">
        <f t="array" ref="D40">SUMPRODUCT(TRANSPOSE(#REF!),Perf!$AM40:$BN40)/100</f>
        <v>#REF!</v>
      </c>
      <c r="E40" s="148" t="e" cm="1">
        <f t="array" ref="E40">SUMPRODUCT(TRANSPOSE(#REF!),Perf!$AM40:$BN40)/100</f>
        <v>#REF!</v>
      </c>
      <c r="F40" s="148" t="e" cm="1">
        <f t="array" ref="F40">SUMPRODUCT(TRANSPOSE(#REF!),Perf!$AM40:$BN40)/100</f>
        <v>#REF!</v>
      </c>
      <c r="G40" s="148" t="e">
        <f t="shared" si="9"/>
        <v>#REF!</v>
      </c>
      <c r="H40" s="148"/>
      <c r="I40" s="160">
        <f t="shared" si="33"/>
        <v>45230</v>
      </c>
      <c r="J40" s="148" t="e">
        <f t="shared" si="19"/>
        <v>#REF!</v>
      </c>
      <c r="K40" s="148" t="e">
        <f t="shared" si="20"/>
        <v>#REF!</v>
      </c>
      <c r="L40" s="148" t="e">
        <f t="shared" si="21"/>
        <v>#REF!</v>
      </c>
      <c r="M40" s="148" t="e">
        <f t="shared" si="22"/>
        <v>#REF!</v>
      </c>
      <c r="N40" s="148" t="e">
        <f t="shared" si="23"/>
        <v>#REF!</v>
      </c>
      <c r="O40" s="148" t="e">
        <f t="shared" si="24"/>
        <v>#REF!</v>
      </c>
      <c r="P40" s="148"/>
      <c r="Q40" s="160">
        <f t="shared" si="12"/>
        <v>45260</v>
      </c>
      <c r="R40" s="148" t="e">
        <f t="shared" si="13"/>
        <v>#REF!</v>
      </c>
      <c r="S40" s="148" t="e">
        <f t="shared" si="14"/>
        <v>#REF!</v>
      </c>
      <c r="T40" s="148" t="e">
        <f t="shared" si="15"/>
        <v>#REF!</v>
      </c>
      <c r="U40" s="148" t="e">
        <f t="shared" si="16"/>
        <v>#REF!</v>
      </c>
      <c r="V40" s="148" t="e">
        <f t="shared" si="17"/>
        <v>#REF!</v>
      </c>
      <c r="W40" s="148"/>
      <c r="X40" s="160">
        <f t="shared" si="34"/>
        <v>45260</v>
      </c>
      <c r="Y40" s="169" t="e" cm="1">
        <f t="array" ref="Y40">AnnualReturn(R5:R40)</f>
        <v>#VALUE!</v>
      </c>
      <c r="Z40" s="169" t="e" cm="1">
        <f t="array" ref="Z40">AnnualReturn(S5:S40)</f>
        <v>#VALUE!</v>
      </c>
      <c r="AA40" s="169" t="e" cm="1">
        <f t="array" ref="AA40">AnnualReturn(T5:T40)</f>
        <v>#VALUE!</v>
      </c>
      <c r="AB40" s="169" t="e" cm="1">
        <f t="array" ref="AB40">AnnualReturn(U5:U40)</f>
        <v>#VALUE!</v>
      </c>
      <c r="AC40" s="169" t="e" cm="1">
        <f t="array" ref="AC40">AnnualReturn(V5:V40)</f>
        <v>#VALUE!</v>
      </c>
      <c r="AD40" s="148"/>
      <c r="AE40" s="160">
        <f t="shared" si="26"/>
        <v>45260</v>
      </c>
      <c r="AF40" s="170" t="e">
        <f t="shared" si="28"/>
        <v>#REF!</v>
      </c>
      <c r="AG40" s="170" t="e">
        <f t="shared" si="29"/>
        <v>#REF!</v>
      </c>
      <c r="AH40" s="170" t="e">
        <f t="shared" si="30"/>
        <v>#REF!</v>
      </c>
      <c r="AI40" s="170" t="e">
        <f t="shared" si="31"/>
        <v>#REF!</v>
      </c>
      <c r="AJ40" s="170" t="e">
        <f t="shared" si="32"/>
        <v>#REF!</v>
      </c>
      <c r="AL40" s="151">
        <f>DB!A40</f>
        <v>45260</v>
      </c>
      <c r="AM40" s="149" t="e">
        <f>INDEX(DB!$B$2:$AB$62,MATCH(Perf!$AL40,DB!$A$2:$A$62,0),MATCH(Perf!AM$1,DB!$B$1:$AB$1,0))</f>
        <v>#REF!</v>
      </c>
      <c r="AN40" s="149" t="e">
        <f>INDEX(DB!$B$2:$AB$62,MATCH(Perf!$AL40,DB!$A$2:$A$62,0),MATCH(Perf!AN$1,DB!$B$1:$AB$1,0))</f>
        <v>#REF!</v>
      </c>
      <c r="AO40" s="149" t="e">
        <f>INDEX(DB!$B$2:$AB$62,MATCH(Perf!$AL40,DB!$A$2:$A$62,0),MATCH(Perf!AO$1,DB!$B$1:$AB$1,0))</f>
        <v>#REF!</v>
      </c>
      <c r="AP40" s="149" t="e">
        <f>INDEX(DB!$B$2:$AB$62,MATCH(Perf!$AL40,DB!$A$2:$A$62,0),MATCH(Perf!AP$1,DB!$B$1:$AB$1,0))</f>
        <v>#REF!</v>
      </c>
      <c r="AQ40" s="149" t="e">
        <f>INDEX(DB!$B$2:$AB$62,MATCH(Perf!$AL40,DB!$A$2:$A$62,0),MATCH(Perf!AQ$1,DB!$B$1:$AB$1,0))</f>
        <v>#REF!</v>
      </c>
      <c r="AR40" s="149" t="e">
        <f>INDEX(DB!$B$2:$AB$62,MATCH(Perf!$AL40,DB!$A$2:$A$62,0),MATCH(Perf!AR$1,DB!$B$1:$AB$1,0))</f>
        <v>#REF!</v>
      </c>
      <c r="AS40" s="149" t="e">
        <f>INDEX(DB!$B$2:$AB$62,MATCH(Perf!$AL40,DB!$A$2:$A$62,0),MATCH(Perf!AS$1,DB!$B$1:$AB$1,0))</f>
        <v>#REF!</v>
      </c>
      <c r="AT40" s="149" t="e">
        <f>INDEX(DB!$B$2:$AB$62,MATCH(Perf!$AL40,DB!$A$2:$A$62,0),MATCH(Perf!AT$1,DB!$B$1:$AB$1,0))</f>
        <v>#REF!</v>
      </c>
      <c r="AU40" s="149" t="e">
        <f>INDEX(DB!$B$2:$AB$62,MATCH(Perf!$AL40,DB!$A$2:$A$62,0),MATCH(Perf!AU$1,DB!$B$1:$AB$1,0))</f>
        <v>#REF!</v>
      </c>
      <c r="AV40" s="150" t="e">
        <f t="shared" si="4"/>
        <v>#REF!</v>
      </c>
      <c r="AW40" s="149" t="e">
        <f>INDEX(DB!$B$2:$AB$62,MATCH(Perf!$AL40,DB!$A$2:$A$62,0),MATCH(Perf!AW$1,DB!$B$1:$AB$1,0))</f>
        <v>#REF!</v>
      </c>
      <c r="AX40" s="149" t="e">
        <f>INDEX(DB!$B$2:$AB$62,MATCH(Perf!$AL40,DB!$A$2:$A$62,0),MATCH(Perf!AX$1,DB!$B$1:$AB$1,0))</f>
        <v>#REF!</v>
      </c>
      <c r="AY40" s="149" t="e">
        <f>INDEX(DB!$B$2:$AB$62,MATCH(Perf!$AL40,DB!$A$2:$A$62,0),MATCH(Perf!AY$1,DB!$B$1:$AB$1,0))</f>
        <v>#REF!</v>
      </c>
      <c r="AZ40" s="149" t="e">
        <f>INDEX(DB!$B$2:$AB$62,MATCH(Perf!$AL40,DB!$A$2:$A$62,0),MATCH(Perf!AZ$1,DB!$B$1:$AB$1,0))</f>
        <v>#REF!</v>
      </c>
      <c r="BA40" s="149" t="e">
        <f>INDEX(DB!$B$2:$AB$62,MATCH(Perf!$AL40,DB!$A$2:$A$62,0),MATCH(Perf!BA$1,DB!$B$1:$AB$1,0))</f>
        <v>#REF!</v>
      </c>
      <c r="BB40" s="149" t="e">
        <f>INDEX(DB!$B$2:$AB$62,MATCH(Perf!$AL40,DB!$A$2:$A$62,0),MATCH(Perf!BB$1,DB!$B$1:$AB$1,0))</f>
        <v>#REF!</v>
      </c>
      <c r="BC40" s="149" t="e">
        <f>INDEX(DB!$B$2:$AB$62,MATCH(Perf!$AL40,DB!$A$2:$A$62,0),MATCH(Perf!BC$1,DB!$B$1:$AB$1,0))</f>
        <v>#REF!</v>
      </c>
      <c r="BD40" s="149" t="e">
        <f>INDEX(DB!$B$2:$AB$62,MATCH(Perf!$AL40,DB!$A$2:$A$62,0),MATCH(Perf!BD$1,DB!$B$1:$AB$1,0))</f>
        <v>#REF!</v>
      </c>
      <c r="BE40" s="149" t="e">
        <f>INDEX(DB!$B$2:$AB$62,MATCH(Perf!$AL40,DB!$A$2:$A$62,0),MATCH(Perf!BE$1,DB!$B$1:$AB$1,0))</f>
        <v>#REF!</v>
      </c>
      <c r="BF40" s="149" t="e">
        <f>INDEX(DB!$B$2:$AB$62,MATCH(Perf!$AL40,DB!$A$2:$A$62,0),MATCH(Perf!BF$1,DB!$B$1:$AB$1,0))</f>
        <v>#REF!</v>
      </c>
      <c r="BG40" s="149" t="e">
        <f>INDEX(DB!$B$2:$AB$62,MATCH(Perf!$AL40,DB!$A$2:$A$62,0),MATCH(Perf!BG$1,DB!$B$1:$AB$1,0))</f>
        <v>#REF!</v>
      </c>
      <c r="BH40" s="149" t="e">
        <f>INDEX(DB!$B$2:$AB$62,MATCH(Perf!$AL40,DB!$A$2:$A$62,0),MATCH(Perf!BH$1,DB!$B$1:$AB$1,0))</f>
        <v>#REF!</v>
      </c>
      <c r="BI40" s="149" t="e">
        <f>INDEX(DB!$B$2:$AB$62,MATCH(Perf!$AL40,DB!$A$2:$A$62,0),MATCH(Perf!BI$1,DB!$B$1:$AB$1,0))</f>
        <v>#REF!</v>
      </c>
      <c r="BJ40" s="149" t="e">
        <f t="shared" si="18"/>
        <v>#REF!</v>
      </c>
      <c r="BK40" s="149" t="e">
        <f>INDEX(DB!$B$2:$AB$62,MATCH(Perf!$AL40,DB!$A$2:$A$62,0),MATCH(Perf!BK$1,DB!$B$1:$AB$1,0))</f>
        <v>#REF!</v>
      </c>
      <c r="BL40" s="149" t="e">
        <f>INDEX(DB!$B$2:$AB$62,MATCH(Perf!$AL40,DB!$A$2:$A$62,0),MATCH(Perf!BL$1,DB!$B$1:$AB$1,0))</f>
        <v>#REF!</v>
      </c>
      <c r="BM40" s="149" t="e">
        <f>INDEX(DB!$B$2:$AB$62,MATCH(Perf!$AL40,DB!$A$2:$A$62,0),MATCH(Perf!BM$1,DB!$B$1:$AB$1,0))</f>
        <v>#REF!</v>
      </c>
    </row>
    <row r="41" spans="1:65" x14ac:dyDescent="0.15">
      <c r="A41" s="151">
        <f t="shared" si="8"/>
        <v>45291</v>
      </c>
      <c r="B41" s="148" t="e" cm="1">
        <f t="array" ref="B41">SUMPRODUCT(TRANSPOSE(#REF!),Perf!$AM41:$BN41)/100</f>
        <v>#REF!</v>
      </c>
      <c r="C41" s="148" t="e" cm="1">
        <f t="array" ref="C41">SUMPRODUCT(TRANSPOSE(#REF!),Perf!$AM41:$BN41)/100</f>
        <v>#REF!</v>
      </c>
      <c r="D41" s="148" t="e" cm="1">
        <f t="array" ref="D41">SUMPRODUCT(TRANSPOSE(#REF!),Perf!$AM41:$BN41)/100</f>
        <v>#REF!</v>
      </c>
      <c r="E41" s="148" t="e" cm="1">
        <f t="array" ref="E41">SUMPRODUCT(TRANSPOSE(#REF!),Perf!$AM41:$BN41)/100</f>
        <v>#REF!</v>
      </c>
      <c r="F41" s="148" t="e" cm="1">
        <f t="array" ref="F41">SUMPRODUCT(TRANSPOSE(#REF!),Perf!$AM41:$BN41)/100</f>
        <v>#REF!</v>
      </c>
      <c r="G41" s="148" t="e">
        <f t="shared" si="9"/>
        <v>#REF!</v>
      </c>
      <c r="H41" s="148"/>
      <c r="I41" s="160">
        <f t="shared" si="33"/>
        <v>45260</v>
      </c>
      <c r="J41" s="148" t="e">
        <f t="shared" si="19"/>
        <v>#REF!</v>
      </c>
      <c r="K41" s="148" t="e">
        <f t="shared" si="20"/>
        <v>#REF!</v>
      </c>
      <c r="L41" s="148" t="e">
        <f t="shared" si="21"/>
        <v>#REF!</v>
      </c>
      <c r="M41" s="148" t="e">
        <f t="shared" si="22"/>
        <v>#REF!</v>
      </c>
      <c r="N41" s="148" t="e">
        <f t="shared" si="23"/>
        <v>#REF!</v>
      </c>
      <c r="O41" s="148" t="e">
        <f t="shared" si="24"/>
        <v>#REF!</v>
      </c>
      <c r="P41" s="148"/>
      <c r="Q41" s="160">
        <f t="shared" si="12"/>
        <v>45291</v>
      </c>
      <c r="R41" s="148" t="e">
        <f t="shared" si="13"/>
        <v>#REF!</v>
      </c>
      <c r="S41" s="148" t="e">
        <f t="shared" si="14"/>
        <v>#REF!</v>
      </c>
      <c r="T41" s="148" t="e">
        <f t="shared" si="15"/>
        <v>#REF!</v>
      </c>
      <c r="U41" s="148" t="e">
        <f t="shared" si="16"/>
        <v>#REF!</v>
      </c>
      <c r="V41" s="148" t="e">
        <f t="shared" si="17"/>
        <v>#REF!</v>
      </c>
      <c r="W41" s="148"/>
      <c r="X41" s="160">
        <f t="shared" si="34"/>
        <v>45291</v>
      </c>
      <c r="Y41" s="169" t="e" cm="1">
        <f t="array" ref="Y41">AnnualReturn(R6:R41)</f>
        <v>#VALUE!</v>
      </c>
      <c r="Z41" s="169" t="e" cm="1">
        <f t="array" ref="Z41">AnnualReturn(S6:S41)</f>
        <v>#VALUE!</v>
      </c>
      <c r="AA41" s="169" t="e" cm="1">
        <f t="array" ref="AA41">AnnualReturn(T6:T41)</f>
        <v>#VALUE!</v>
      </c>
      <c r="AB41" s="169" t="e" cm="1">
        <f t="array" ref="AB41">AnnualReturn(U6:U41)</f>
        <v>#VALUE!</v>
      </c>
      <c r="AC41" s="169" t="e" cm="1">
        <f t="array" ref="AC41">AnnualReturn(V6:V41)</f>
        <v>#VALUE!</v>
      </c>
      <c r="AD41" s="148"/>
      <c r="AE41" s="160">
        <f t="shared" si="26"/>
        <v>45291</v>
      </c>
      <c r="AF41" s="170" t="e">
        <f t="shared" si="28"/>
        <v>#REF!</v>
      </c>
      <c r="AG41" s="170" t="e">
        <f t="shared" si="29"/>
        <v>#REF!</v>
      </c>
      <c r="AH41" s="170" t="e">
        <f t="shared" si="30"/>
        <v>#REF!</v>
      </c>
      <c r="AI41" s="170" t="e">
        <f t="shared" si="31"/>
        <v>#REF!</v>
      </c>
      <c r="AJ41" s="170" t="e">
        <f t="shared" si="32"/>
        <v>#REF!</v>
      </c>
      <c r="AL41" s="151">
        <f>DB!A41</f>
        <v>45291</v>
      </c>
      <c r="AM41" s="149" t="e">
        <f>INDEX(DB!$B$2:$AB$62,MATCH(Perf!$AL41,DB!$A$2:$A$62,0),MATCH(Perf!AM$1,DB!$B$1:$AB$1,0))</f>
        <v>#REF!</v>
      </c>
      <c r="AN41" s="149" t="e">
        <f>INDEX(DB!$B$2:$AB$62,MATCH(Perf!$AL41,DB!$A$2:$A$62,0),MATCH(Perf!AN$1,DB!$B$1:$AB$1,0))</f>
        <v>#REF!</v>
      </c>
      <c r="AO41" s="149" t="e">
        <f>INDEX(DB!$B$2:$AB$62,MATCH(Perf!$AL41,DB!$A$2:$A$62,0),MATCH(Perf!AO$1,DB!$B$1:$AB$1,0))</f>
        <v>#REF!</v>
      </c>
      <c r="AP41" s="149" t="e">
        <f>INDEX(DB!$B$2:$AB$62,MATCH(Perf!$AL41,DB!$A$2:$A$62,0),MATCH(Perf!AP$1,DB!$B$1:$AB$1,0))</f>
        <v>#REF!</v>
      </c>
      <c r="AQ41" s="149" t="e">
        <f>INDEX(DB!$B$2:$AB$62,MATCH(Perf!$AL41,DB!$A$2:$A$62,0),MATCH(Perf!AQ$1,DB!$B$1:$AB$1,0))</f>
        <v>#REF!</v>
      </c>
      <c r="AR41" s="149" t="e">
        <f>INDEX(DB!$B$2:$AB$62,MATCH(Perf!$AL41,DB!$A$2:$A$62,0),MATCH(Perf!AR$1,DB!$B$1:$AB$1,0))</f>
        <v>#REF!</v>
      </c>
      <c r="AS41" s="149" t="e">
        <f>INDEX(DB!$B$2:$AB$62,MATCH(Perf!$AL41,DB!$A$2:$A$62,0),MATCH(Perf!AS$1,DB!$B$1:$AB$1,0))</f>
        <v>#REF!</v>
      </c>
      <c r="AT41" s="149" t="e">
        <f>INDEX(DB!$B$2:$AB$62,MATCH(Perf!$AL41,DB!$A$2:$A$62,0),MATCH(Perf!AT$1,DB!$B$1:$AB$1,0))</f>
        <v>#REF!</v>
      </c>
      <c r="AU41" s="149" t="e">
        <f>INDEX(DB!$B$2:$AB$62,MATCH(Perf!$AL41,DB!$A$2:$A$62,0),MATCH(Perf!AU$1,DB!$B$1:$AB$1,0))</f>
        <v>#REF!</v>
      </c>
      <c r="AV41" s="150" t="e">
        <f t="shared" si="4"/>
        <v>#REF!</v>
      </c>
      <c r="AW41" s="149" t="e">
        <f>INDEX(DB!$B$2:$AB$62,MATCH(Perf!$AL41,DB!$A$2:$A$62,0),MATCH(Perf!AW$1,DB!$B$1:$AB$1,0))</f>
        <v>#REF!</v>
      </c>
      <c r="AX41" s="149" t="e">
        <f>INDEX(DB!$B$2:$AB$62,MATCH(Perf!$AL41,DB!$A$2:$A$62,0),MATCH(Perf!AX$1,DB!$B$1:$AB$1,0))</f>
        <v>#REF!</v>
      </c>
      <c r="AY41" s="149" t="e">
        <f>INDEX(DB!$B$2:$AB$62,MATCH(Perf!$AL41,DB!$A$2:$A$62,0),MATCH(Perf!AY$1,DB!$B$1:$AB$1,0))</f>
        <v>#REF!</v>
      </c>
      <c r="AZ41" s="149" t="e">
        <f>INDEX(DB!$B$2:$AB$62,MATCH(Perf!$AL41,DB!$A$2:$A$62,0),MATCH(Perf!AZ$1,DB!$B$1:$AB$1,0))</f>
        <v>#REF!</v>
      </c>
      <c r="BA41" s="149" t="e">
        <f>INDEX(DB!$B$2:$AB$62,MATCH(Perf!$AL41,DB!$A$2:$A$62,0),MATCH(Perf!BA$1,DB!$B$1:$AB$1,0))</f>
        <v>#REF!</v>
      </c>
      <c r="BB41" s="149" t="e">
        <f>INDEX(DB!$B$2:$AB$62,MATCH(Perf!$AL41,DB!$A$2:$A$62,0),MATCH(Perf!BB$1,DB!$B$1:$AB$1,0))</f>
        <v>#REF!</v>
      </c>
      <c r="BC41" s="149" t="e">
        <f>INDEX(DB!$B$2:$AB$62,MATCH(Perf!$AL41,DB!$A$2:$A$62,0),MATCH(Perf!BC$1,DB!$B$1:$AB$1,0))</f>
        <v>#REF!</v>
      </c>
      <c r="BD41" s="149" t="e">
        <f>INDEX(DB!$B$2:$AB$62,MATCH(Perf!$AL41,DB!$A$2:$A$62,0),MATCH(Perf!BD$1,DB!$B$1:$AB$1,0))</f>
        <v>#REF!</v>
      </c>
      <c r="BE41" s="149" t="e">
        <f>INDEX(DB!$B$2:$AB$62,MATCH(Perf!$AL41,DB!$A$2:$A$62,0),MATCH(Perf!BE$1,DB!$B$1:$AB$1,0))</f>
        <v>#REF!</v>
      </c>
      <c r="BF41" s="149" t="e">
        <f>INDEX(DB!$B$2:$AB$62,MATCH(Perf!$AL41,DB!$A$2:$A$62,0),MATCH(Perf!BF$1,DB!$B$1:$AB$1,0))</f>
        <v>#REF!</v>
      </c>
      <c r="BG41" s="149" t="e">
        <f>INDEX(DB!$B$2:$AB$62,MATCH(Perf!$AL41,DB!$A$2:$A$62,0),MATCH(Perf!BG$1,DB!$B$1:$AB$1,0))</f>
        <v>#REF!</v>
      </c>
      <c r="BH41" s="149" t="e">
        <f>INDEX(DB!$B$2:$AB$62,MATCH(Perf!$AL41,DB!$A$2:$A$62,0),MATCH(Perf!BH$1,DB!$B$1:$AB$1,0))</f>
        <v>#REF!</v>
      </c>
      <c r="BI41" s="149" t="e">
        <f>INDEX(DB!$B$2:$AB$62,MATCH(Perf!$AL41,DB!$A$2:$A$62,0),MATCH(Perf!BI$1,DB!$B$1:$AB$1,0))</f>
        <v>#REF!</v>
      </c>
      <c r="BJ41" s="149" t="e">
        <f t="shared" si="18"/>
        <v>#REF!</v>
      </c>
      <c r="BK41" s="149" t="e">
        <f>INDEX(DB!$B$2:$AB$62,MATCH(Perf!$AL41,DB!$A$2:$A$62,0),MATCH(Perf!BK$1,DB!$B$1:$AB$1,0))</f>
        <v>#REF!</v>
      </c>
      <c r="BL41" s="149" t="e">
        <f>INDEX(DB!$B$2:$AB$62,MATCH(Perf!$AL41,DB!$A$2:$A$62,0),MATCH(Perf!BL$1,DB!$B$1:$AB$1,0))</f>
        <v>#REF!</v>
      </c>
      <c r="BM41" s="149" t="e">
        <f>INDEX(DB!$B$2:$AB$62,MATCH(Perf!$AL41,DB!$A$2:$A$62,0),MATCH(Perf!BM$1,DB!$B$1:$AB$1,0))</f>
        <v>#REF!</v>
      </c>
    </row>
    <row r="42" spans="1:65" x14ac:dyDescent="0.15">
      <c r="A42" s="151">
        <f t="shared" si="8"/>
        <v>45322</v>
      </c>
      <c r="B42" s="148" t="e" cm="1">
        <f t="array" ref="B42">SUMPRODUCT(TRANSPOSE(#REF!),Perf!$AM42:$BN42)/100</f>
        <v>#REF!</v>
      </c>
      <c r="C42" s="148" t="e" cm="1">
        <f t="array" ref="C42">SUMPRODUCT(TRANSPOSE(#REF!),Perf!$AM42:$BN42)/100</f>
        <v>#REF!</v>
      </c>
      <c r="D42" s="148" t="e" cm="1">
        <f t="array" ref="D42">SUMPRODUCT(TRANSPOSE(#REF!),Perf!$AM42:$BN42)/100</f>
        <v>#REF!</v>
      </c>
      <c r="E42" s="148" t="e" cm="1">
        <f t="array" ref="E42">SUMPRODUCT(TRANSPOSE(#REF!),Perf!$AM42:$BN42)/100</f>
        <v>#REF!</v>
      </c>
      <c r="F42" s="148" t="e" cm="1">
        <f t="array" ref="F42">SUMPRODUCT(TRANSPOSE(#REF!),Perf!$AM42:$BN42)/100</f>
        <v>#REF!</v>
      </c>
      <c r="G42" s="148" t="e">
        <f t="shared" si="9"/>
        <v>#REF!</v>
      </c>
      <c r="H42" s="148"/>
      <c r="I42" s="160">
        <f t="shared" si="33"/>
        <v>45291</v>
      </c>
      <c r="J42" s="148" t="e">
        <f t="shared" si="19"/>
        <v>#REF!</v>
      </c>
      <c r="K42" s="148" t="e">
        <f t="shared" si="20"/>
        <v>#REF!</v>
      </c>
      <c r="L42" s="148" t="e">
        <f t="shared" si="21"/>
        <v>#REF!</v>
      </c>
      <c r="M42" s="148" t="e">
        <f t="shared" si="22"/>
        <v>#REF!</v>
      </c>
      <c r="N42" s="148" t="e">
        <f t="shared" si="23"/>
        <v>#REF!</v>
      </c>
      <c r="O42" s="148" t="e">
        <f t="shared" si="24"/>
        <v>#REF!</v>
      </c>
      <c r="P42" s="148"/>
      <c r="Q42" s="160">
        <f t="shared" si="12"/>
        <v>45322</v>
      </c>
      <c r="R42" s="148" t="e">
        <f t="shared" si="13"/>
        <v>#REF!</v>
      </c>
      <c r="S42" s="148" t="e">
        <f t="shared" si="14"/>
        <v>#REF!</v>
      </c>
      <c r="T42" s="148" t="e">
        <f t="shared" si="15"/>
        <v>#REF!</v>
      </c>
      <c r="U42" s="148" t="e">
        <f t="shared" si="16"/>
        <v>#REF!</v>
      </c>
      <c r="V42" s="148" t="e">
        <f t="shared" si="17"/>
        <v>#REF!</v>
      </c>
      <c r="W42" s="148"/>
      <c r="X42" s="160">
        <f t="shared" si="34"/>
        <v>45322</v>
      </c>
      <c r="Y42" s="169" t="e" cm="1">
        <f t="array" ref="Y42">AnnualReturn(R7:R42)</f>
        <v>#VALUE!</v>
      </c>
      <c r="Z42" s="169" t="e" cm="1">
        <f t="array" ref="Z42">AnnualReturn(S7:S42)</f>
        <v>#VALUE!</v>
      </c>
      <c r="AA42" s="169" t="e" cm="1">
        <f t="array" ref="AA42">AnnualReturn(T7:T42)</f>
        <v>#VALUE!</v>
      </c>
      <c r="AB42" s="169" t="e" cm="1">
        <f t="array" ref="AB42">AnnualReturn(U7:U42)</f>
        <v>#VALUE!</v>
      </c>
      <c r="AC42" s="169" t="e" cm="1">
        <f t="array" ref="AC42">AnnualReturn(V7:V42)</f>
        <v>#VALUE!</v>
      </c>
      <c r="AD42" s="148"/>
      <c r="AE42" s="160">
        <f t="shared" si="26"/>
        <v>45322</v>
      </c>
      <c r="AF42" s="170" t="e">
        <f t="shared" si="28"/>
        <v>#REF!</v>
      </c>
      <c r="AG42" s="170" t="e">
        <f t="shared" si="29"/>
        <v>#REF!</v>
      </c>
      <c r="AH42" s="170" t="e">
        <f t="shared" si="30"/>
        <v>#REF!</v>
      </c>
      <c r="AI42" s="170" t="e">
        <f t="shared" si="31"/>
        <v>#REF!</v>
      </c>
      <c r="AJ42" s="170" t="e">
        <f t="shared" si="32"/>
        <v>#REF!</v>
      </c>
      <c r="AL42" s="151">
        <f>DB!A42</f>
        <v>45322</v>
      </c>
      <c r="AM42" s="149" t="e">
        <f>INDEX(DB!$B$2:$AB$62,MATCH(Perf!$AL42,DB!$A$2:$A$62,0),MATCH(Perf!AM$1,DB!$B$1:$AB$1,0))</f>
        <v>#REF!</v>
      </c>
      <c r="AN42" s="149" t="e">
        <f>INDEX(DB!$B$2:$AB$62,MATCH(Perf!$AL42,DB!$A$2:$A$62,0),MATCH(Perf!AN$1,DB!$B$1:$AB$1,0))</f>
        <v>#REF!</v>
      </c>
      <c r="AO42" s="149" t="e">
        <f>INDEX(DB!$B$2:$AB$62,MATCH(Perf!$AL42,DB!$A$2:$A$62,0),MATCH(Perf!AO$1,DB!$B$1:$AB$1,0))</f>
        <v>#REF!</v>
      </c>
      <c r="AP42" s="149" t="e">
        <f>INDEX(DB!$B$2:$AB$62,MATCH(Perf!$AL42,DB!$A$2:$A$62,0),MATCH(Perf!AP$1,DB!$B$1:$AB$1,0))</f>
        <v>#REF!</v>
      </c>
      <c r="AQ42" s="149" t="e">
        <f>INDEX(DB!$B$2:$AB$62,MATCH(Perf!$AL42,DB!$A$2:$A$62,0),MATCH(Perf!AQ$1,DB!$B$1:$AB$1,0))</f>
        <v>#REF!</v>
      </c>
      <c r="AR42" s="149" t="e">
        <f>INDEX(DB!$B$2:$AB$62,MATCH(Perf!$AL42,DB!$A$2:$A$62,0),MATCH(Perf!AR$1,DB!$B$1:$AB$1,0))</f>
        <v>#REF!</v>
      </c>
      <c r="AS42" s="149" t="e">
        <f>INDEX(DB!$B$2:$AB$62,MATCH(Perf!$AL42,DB!$A$2:$A$62,0),MATCH(Perf!AS$1,DB!$B$1:$AB$1,0))</f>
        <v>#REF!</v>
      </c>
      <c r="AT42" s="149" t="e">
        <f>INDEX(DB!$B$2:$AB$62,MATCH(Perf!$AL42,DB!$A$2:$A$62,0),MATCH(Perf!AT$1,DB!$B$1:$AB$1,0))</f>
        <v>#REF!</v>
      </c>
      <c r="AU42" s="149" t="e">
        <f>INDEX(DB!$B$2:$AB$62,MATCH(Perf!$AL42,DB!$A$2:$A$62,0),MATCH(Perf!AU$1,DB!$B$1:$AB$1,0))</f>
        <v>#REF!</v>
      </c>
      <c r="AV42" s="150" t="e">
        <f>0.5*AX42+0.5*BG42</f>
        <v>#REF!</v>
      </c>
      <c r="AW42" s="149" t="e">
        <f>INDEX(DB!$B$2:$AB$62,MATCH(Perf!$AL42,DB!$A$2:$A$62,0),MATCH(Perf!AW$1,DB!$B$1:$AB$1,0))</f>
        <v>#REF!</v>
      </c>
      <c r="AX42" s="149" t="e">
        <f>INDEX(DB!$B$2:$AB$62,MATCH(Perf!$AL42,DB!$A$2:$A$62,0),MATCH(Perf!AX$1,DB!$B$1:$AB$1,0))</f>
        <v>#REF!</v>
      </c>
      <c r="AY42" s="149" t="e">
        <f>INDEX(DB!$B$2:$AB$62,MATCH(Perf!$AL42,DB!$A$2:$A$62,0),MATCH(Perf!AY$1,DB!$B$1:$AB$1,0))</f>
        <v>#REF!</v>
      </c>
      <c r="AZ42" s="149" t="e">
        <f>INDEX(DB!$B$2:$AB$62,MATCH(Perf!$AL42,DB!$A$2:$A$62,0),MATCH(Perf!AZ$1,DB!$B$1:$AB$1,0))</f>
        <v>#REF!</v>
      </c>
      <c r="BA42" s="149" t="e">
        <f>INDEX(DB!$B$2:$AB$62,MATCH(Perf!$AL42,DB!$A$2:$A$62,0),MATCH(Perf!BA$1,DB!$B$1:$AB$1,0))</f>
        <v>#REF!</v>
      </c>
      <c r="BB42" s="149" t="e">
        <f>INDEX(DB!$B$2:$AB$62,MATCH(Perf!$AL42,DB!$A$2:$A$62,0),MATCH(Perf!BB$1,DB!$B$1:$AB$1,0))</f>
        <v>#REF!</v>
      </c>
      <c r="BC42" s="149" t="e">
        <f>INDEX(DB!$B$2:$AB$62,MATCH(Perf!$AL42,DB!$A$2:$A$62,0),MATCH(Perf!BC$1,DB!$B$1:$AB$1,0))</f>
        <v>#REF!</v>
      </c>
      <c r="BD42" s="149" t="e">
        <f>INDEX(DB!$B$2:$AB$62,MATCH(Perf!$AL42,DB!$A$2:$A$62,0),MATCH(Perf!BD$1,DB!$B$1:$AB$1,0))</f>
        <v>#REF!</v>
      </c>
      <c r="BE42" s="149" t="e">
        <f>INDEX(DB!$B$2:$AB$62,MATCH(Perf!$AL42,DB!$A$2:$A$62,0),MATCH(Perf!BE$1,DB!$B$1:$AB$1,0))</f>
        <v>#REF!</v>
      </c>
      <c r="BF42" s="149" t="e">
        <f>INDEX(DB!$B$2:$AB$62,MATCH(Perf!$AL42,DB!$A$2:$A$62,0),MATCH(Perf!BF$1,DB!$B$1:$AB$1,0))</f>
        <v>#REF!</v>
      </c>
      <c r="BG42" s="149" t="e">
        <f>INDEX(DB!$B$2:$AB$62,MATCH(Perf!$AL42,DB!$A$2:$A$62,0),MATCH(Perf!BG$1,DB!$B$1:$AB$1,0))</f>
        <v>#REF!</v>
      </c>
      <c r="BH42" s="149" t="e">
        <f>INDEX(DB!$B$2:$AB$62,MATCH(Perf!$AL42,DB!$A$2:$A$62,0),MATCH(Perf!BH$1,DB!$B$1:$AB$1,0))</f>
        <v>#REF!</v>
      </c>
      <c r="BI42" s="149" t="e">
        <f>INDEX(DB!$B$2:$AB$62,MATCH(Perf!$AL42,DB!$A$2:$A$62,0),MATCH(Perf!BI$1,DB!$B$1:$AB$1,0))</f>
        <v>#REF!</v>
      </c>
      <c r="BJ42" s="149" t="e">
        <f t="shared" si="18"/>
        <v>#REF!</v>
      </c>
      <c r="BK42" s="149" t="e">
        <f>INDEX(DB!$B$2:$AB$62,MATCH(Perf!$AL42,DB!$A$2:$A$62,0),MATCH(Perf!BK$1,DB!$B$1:$AB$1,0))</f>
        <v>#REF!</v>
      </c>
      <c r="BL42" s="149" t="e">
        <f>INDEX(DB!$B$2:$AB$62,MATCH(Perf!$AL42,DB!$A$2:$A$62,0),MATCH(Perf!BL$1,DB!$B$1:$AB$1,0))</f>
        <v>#REF!</v>
      </c>
      <c r="BM42" s="149" t="e">
        <f>INDEX(DB!$B$2:$AB$62,MATCH(Perf!$AL42,DB!$A$2:$A$62,0),MATCH(Perf!BM$1,DB!$B$1:$AB$1,0))</f>
        <v>#REF!</v>
      </c>
    </row>
    <row r="43" spans="1:65" x14ac:dyDescent="0.15">
      <c r="A43" s="151">
        <f t="shared" si="8"/>
        <v>45351</v>
      </c>
      <c r="B43" s="148" t="e" cm="1">
        <f t="array" ref="B43">SUMPRODUCT(TRANSPOSE(#REF!),Perf!$AM43:$BN43)/100</f>
        <v>#REF!</v>
      </c>
      <c r="C43" s="148" t="e" cm="1">
        <f t="array" ref="C43">SUMPRODUCT(TRANSPOSE(#REF!),Perf!$AM43:$BN43)/100</f>
        <v>#REF!</v>
      </c>
      <c r="D43" s="148" t="e" cm="1">
        <f t="array" ref="D43">SUMPRODUCT(TRANSPOSE(#REF!),Perf!$AM43:$BN43)/100</f>
        <v>#REF!</v>
      </c>
      <c r="E43" s="148" t="e" cm="1">
        <f t="array" ref="E43">SUMPRODUCT(TRANSPOSE(#REF!),Perf!$AM43:$BN43)/100</f>
        <v>#REF!</v>
      </c>
      <c r="F43" s="148" t="e" cm="1">
        <f t="array" ref="F43">SUMPRODUCT(TRANSPOSE(#REF!),Perf!$AM43:$BN43)/100</f>
        <v>#REF!</v>
      </c>
      <c r="G43" s="148" t="e">
        <f t="shared" si="9"/>
        <v>#REF!</v>
      </c>
      <c r="H43" s="148"/>
      <c r="I43" s="160">
        <f t="shared" si="33"/>
        <v>45322</v>
      </c>
      <c r="J43" s="148" t="e">
        <f t="shared" si="19"/>
        <v>#REF!</v>
      </c>
      <c r="K43" s="148" t="e">
        <f t="shared" si="20"/>
        <v>#REF!</v>
      </c>
      <c r="L43" s="148" t="e">
        <f t="shared" si="21"/>
        <v>#REF!</v>
      </c>
      <c r="M43" s="148" t="e">
        <f t="shared" si="22"/>
        <v>#REF!</v>
      </c>
      <c r="N43" s="148" t="e">
        <f t="shared" si="23"/>
        <v>#REF!</v>
      </c>
      <c r="O43" s="148" t="e">
        <f t="shared" si="24"/>
        <v>#REF!</v>
      </c>
      <c r="P43" s="148"/>
      <c r="Q43" s="160">
        <f t="shared" si="12"/>
        <v>45351</v>
      </c>
      <c r="R43" s="148" t="e">
        <f t="shared" si="13"/>
        <v>#REF!</v>
      </c>
      <c r="S43" s="148" t="e">
        <f t="shared" si="14"/>
        <v>#REF!</v>
      </c>
      <c r="T43" s="148" t="e">
        <f t="shared" si="15"/>
        <v>#REF!</v>
      </c>
      <c r="U43" s="148" t="e">
        <f t="shared" si="16"/>
        <v>#REF!</v>
      </c>
      <c r="V43" s="148" t="e">
        <f t="shared" si="17"/>
        <v>#REF!</v>
      </c>
      <c r="W43" s="148"/>
      <c r="X43" s="160">
        <f t="shared" si="34"/>
        <v>45351</v>
      </c>
      <c r="Y43" s="169" t="e" cm="1">
        <f t="array" ref="Y43">AnnualReturn(R8:R43)</f>
        <v>#VALUE!</v>
      </c>
      <c r="Z43" s="169" t="e" cm="1">
        <f t="array" ref="Z43">AnnualReturn(S8:S43)</f>
        <v>#VALUE!</v>
      </c>
      <c r="AA43" s="169" t="e" cm="1">
        <f t="array" ref="AA43">AnnualReturn(T8:T43)</f>
        <v>#VALUE!</v>
      </c>
      <c r="AB43" s="169" t="e" cm="1">
        <f t="array" ref="AB43">AnnualReturn(U8:U43)</f>
        <v>#VALUE!</v>
      </c>
      <c r="AC43" s="169" t="e" cm="1">
        <f t="array" ref="AC43">AnnualReturn(V8:V43)</f>
        <v>#VALUE!</v>
      </c>
      <c r="AD43" s="148"/>
      <c r="AE43" s="160">
        <f t="shared" si="26"/>
        <v>45351</v>
      </c>
      <c r="AF43" s="170" t="e">
        <f t="shared" si="28"/>
        <v>#REF!</v>
      </c>
      <c r="AG43" s="170" t="e">
        <f t="shared" si="29"/>
        <v>#REF!</v>
      </c>
      <c r="AH43" s="170" t="e">
        <f t="shared" si="30"/>
        <v>#REF!</v>
      </c>
      <c r="AI43" s="170" t="e">
        <f t="shared" si="31"/>
        <v>#REF!</v>
      </c>
      <c r="AJ43" s="170" t="e">
        <f t="shared" si="32"/>
        <v>#REF!</v>
      </c>
      <c r="AL43" s="151">
        <f>DB!A43</f>
        <v>45351</v>
      </c>
      <c r="AM43" s="149" t="e">
        <f>INDEX(DB!$B$2:$AB$62,MATCH(Perf!$AL43,DB!$A$2:$A$62,0),MATCH(Perf!AM$1,DB!$B$1:$AB$1,0))</f>
        <v>#REF!</v>
      </c>
      <c r="AN43" s="149" t="e">
        <f>INDEX(DB!$B$2:$AB$62,MATCH(Perf!$AL43,DB!$A$2:$A$62,0),MATCH(Perf!AN$1,DB!$B$1:$AB$1,0))</f>
        <v>#REF!</v>
      </c>
      <c r="AO43" s="149" t="e">
        <f>INDEX(DB!$B$2:$AB$62,MATCH(Perf!$AL43,DB!$A$2:$A$62,0),MATCH(Perf!AO$1,DB!$B$1:$AB$1,0))</f>
        <v>#REF!</v>
      </c>
      <c r="AP43" s="149" t="e">
        <f>INDEX(DB!$B$2:$AB$62,MATCH(Perf!$AL43,DB!$A$2:$A$62,0),MATCH(Perf!AP$1,DB!$B$1:$AB$1,0))</f>
        <v>#REF!</v>
      </c>
      <c r="AQ43" s="149" t="e">
        <f>INDEX(DB!$B$2:$AB$62,MATCH(Perf!$AL43,DB!$A$2:$A$62,0),MATCH(Perf!AQ$1,DB!$B$1:$AB$1,0))</f>
        <v>#REF!</v>
      </c>
      <c r="AR43" s="149" t="e">
        <f>INDEX(DB!$B$2:$AB$62,MATCH(Perf!$AL43,DB!$A$2:$A$62,0),MATCH(Perf!AR$1,DB!$B$1:$AB$1,0))</f>
        <v>#REF!</v>
      </c>
      <c r="AS43" s="149" t="e">
        <f>INDEX(DB!$B$2:$AB$62,MATCH(Perf!$AL43,DB!$A$2:$A$62,0),MATCH(Perf!AS$1,DB!$B$1:$AB$1,0))</f>
        <v>#REF!</v>
      </c>
      <c r="AT43" s="149" t="e">
        <f>INDEX(DB!$B$2:$AB$62,MATCH(Perf!$AL43,DB!$A$2:$A$62,0),MATCH(Perf!AT$1,DB!$B$1:$AB$1,0))</f>
        <v>#REF!</v>
      </c>
      <c r="AU43" s="149" t="e">
        <f>INDEX(DB!$B$2:$AB$62,MATCH(Perf!$AL43,DB!$A$2:$A$62,0),MATCH(Perf!AU$1,DB!$B$1:$AB$1,0))</f>
        <v>#REF!</v>
      </c>
      <c r="AV43" s="149" t="e">
        <f>INDEX(DB!$B$2:$AB$62,MATCH(Perf!$AL43,DB!$A$2:$A$62,0),MATCH(Perf!AV$1,DB!$B$1:$AB$1,0))</f>
        <v>#REF!</v>
      </c>
      <c r="AW43" s="149" t="e">
        <f>INDEX(DB!$B$2:$AB$62,MATCH(Perf!$AL43,DB!$A$2:$A$62,0),MATCH(Perf!AW$1,DB!$B$1:$AB$1,0))</f>
        <v>#REF!</v>
      </c>
      <c r="AX43" s="149" t="e">
        <f>INDEX(DB!$B$2:$AB$62,MATCH(Perf!$AL43,DB!$A$2:$A$62,0),MATCH(Perf!AX$1,DB!$B$1:$AB$1,0))</f>
        <v>#REF!</v>
      </c>
      <c r="AY43" s="149" t="e">
        <f>INDEX(DB!$B$2:$AB$62,MATCH(Perf!$AL43,DB!$A$2:$A$62,0),MATCH(Perf!AY$1,DB!$B$1:$AB$1,0))</f>
        <v>#REF!</v>
      </c>
      <c r="AZ43" s="149" t="e">
        <f>INDEX(DB!$B$2:$AB$62,MATCH(Perf!$AL43,DB!$A$2:$A$62,0),MATCH(Perf!AZ$1,DB!$B$1:$AB$1,0))</f>
        <v>#REF!</v>
      </c>
      <c r="BA43" s="149" t="e">
        <f>INDEX(DB!$B$2:$AB$62,MATCH(Perf!$AL43,DB!$A$2:$A$62,0),MATCH(Perf!BA$1,DB!$B$1:$AB$1,0))</f>
        <v>#REF!</v>
      </c>
      <c r="BB43" s="149" t="e">
        <f>INDEX(DB!$B$2:$AB$62,MATCH(Perf!$AL43,DB!$A$2:$A$62,0),MATCH(Perf!BB$1,DB!$B$1:$AB$1,0))</f>
        <v>#REF!</v>
      </c>
      <c r="BC43" s="149" t="e">
        <f>INDEX(DB!$B$2:$AB$62,MATCH(Perf!$AL43,DB!$A$2:$A$62,0),MATCH(Perf!BC$1,DB!$B$1:$AB$1,0))</f>
        <v>#REF!</v>
      </c>
      <c r="BD43" s="149" t="e">
        <f>INDEX(DB!$B$2:$AB$62,MATCH(Perf!$AL43,DB!$A$2:$A$62,0),MATCH(Perf!BD$1,DB!$B$1:$AB$1,0))</f>
        <v>#REF!</v>
      </c>
      <c r="BE43" s="149" t="e">
        <f>INDEX(DB!$B$2:$AB$62,MATCH(Perf!$AL43,DB!$A$2:$A$62,0),MATCH(Perf!BE$1,DB!$B$1:$AB$1,0))</f>
        <v>#REF!</v>
      </c>
      <c r="BF43" s="149" t="e">
        <f>INDEX(DB!$B$2:$AB$62,MATCH(Perf!$AL43,DB!$A$2:$A$62,0),MATCH(Perf!BF$1,DB!$B$1:$AB$1,0))</f>
        <v>#REF!</v>
      </c>
      <c r="BG43" s="149" t="e">
        <f>INDEX(DB!$B$2:$AB$62,MATCH(Perf!$AL43,DB!$A$2:$A$62,0),MATCH(Perf!BG$1,DB!$B$1:$AB$1,0))</f>
        <v>#REF!</v>
      </c>
      <c r="BH43" s="149" t="e">
        <f>INDEX(DB!$B$2:$AB$62,MATCH(Perf!$AL43,DB!$A$2:$A$62,0),MATCH(Perf!BH$1,DB!$B$1:$AB$1,0))</f>
        <v>#REF!</v>
      </c>
      <c r="BI43" s="149" t="e">
        <f>INDEX(DB!$B$2:$AB$62,MATCH(Perf!$AL43,DB!$A$2:$A$62,0),MATCH(Perf!BI$1,DB!$B$1:$AB$1,0))</f>
        <v>#REF!</v>
      </c>
      <c r="BJ43" s="149" t="e">
        <f t="shared" si="18"/>
        <v>#REF!</v>
      </c>
      <c r="BK43" s="149" t="e">
        <f>INDEX(DB!$B$2:$AB$62,MATCH(Perf!$AL43,DB!$A$2:$A$62,0),MATCH(Perf!BK$1,DB!$B$1:$AB$1,0))</f>
        <v>#REF!</v>
      </c>
      <c r="BL43" s="149" t="e">
        <f>INDEX(DB!$B$2:$AB$62,MATCH(Perf!$AL43,DB!$A$2:$A$62,0),MATCH(Perf!BL$1,DB!$B$1:$AB$1,0))</f>
        <v>#REF!</v>
      </c>
      <c r="BM43" s="149" t="e">
        <f>INDEX(DB!$B$2:$AB$62,MATCH(Perf!$AL43,DB!$A$2:$A$62,0),MATCH(Perf!BM$1,DB!$B$1:$AB$1,0))</f>
        <v>#REF!</v>
      </c>
    </row>
    <row r="44" spans="1:65" x14ac:dyDescent="0.15">
      <c r="A44" s="151">
        <f t="shared" si="8"/>
        <v>45382</v>
      </c>
      <c r="B44" s="148" t="e" cm="1">
        <f t="array" ref="B44">SUMPRODUCT(TRANSPOSE(#REF!),Perf!$AM44:$BN44)/100</f>
        <v>#REF!</v>
      </c>
      <c r="C44" s="148" t="e" cm="1">
        <f t="array" ref="C44">SUMPRODUCT(TRANSPOSE(#REF!),Perf!$AM44:$BN44)/100</f>
        <v>#REF!</v>
      </c>
      <c r="D44" s="148" t="e" cm="1">
        <f t="array" ref="D44">SUMPRODUCT(TRANSPOSE(#REF!),Perf!$AM44:$BN44)/100</f>
        <v>#REF!</v>
      </c>
      <c r="E44" s="148" t="e" cm="1">
        <f t="array" ref="E44">SUMPRODUCT(TRANSPOSE(#REF!),Perf!$AM44:$BN44)/100</f>
        <v>#REF!</v>
      </c>
      <c r="F44" s="148" t="e" cm="1">
        <f t="array" ref="F44">SUMPRODUCT(TRANSPOSE(#REF!),Perf!$AM44:$BN44)/100</f>
        <v>#REF!</v>
      </c>
      <c r="G44" s="148" t="e">
        <f t="shared" si="9"/>
        <v>#REF!</v>
      </c>
      <c r="H44" s="148"/>
      <c r="I44" s="160">
        <f t="shared" si="33"/>
        <v>45351</v>
      </c>
      <c r="J44" s="148" t="e">
        <f t="shared" si="19"/>
        <v>#REF!</v>
      </c>
      <c r="K44" s="148" t="e">
        <f t="shared" si="20"/>
        <v>#REF!</v>
      </c>
      <c r="L44" s="148" t="e">
        <f t="shared" si="21"/>
        <v>#REF!</v>
      </c>
      <c r="M44" s="148" t="e">
        <f t="shared" si="22"/>
        <v>#REF!</v>
      </c>
      <c r="N44" s="148" t="e">
        <f t="shared" si="23"/>
        <v>#REF!</v>
      </c>
      <c r="O44" s="148" t="e">
        <f t="shared" si="24"/>
        <v>#REF!</v>
      </c>
      <c r="P44" s="148"/>
      <c r="Q44" s="160">
        <f t="shared" si="12"/>
        <v>45382</v>
      </c>
      <c r="R44" s="148" t="e">
        <f t="shared" si="13"/>
        <v>#REF!</v>
      </c>
      <c r="S44" s="148" t="e">
        <f t="shared" si="14"/>
        <v>#REF!</v>
      </c>
      <c r="T44" s="148" t="e">
        <f t="shared" si="15"/>
        <v>#REF!</v>
      </c>
      <c r="U44" s="148" t="e">
        <f t="shared" si="16"/>
        <v>#REF!</v>
      </c>
      <c r="V44" s="148" t="e">
        <f t="shared" si="17"/>
        <v>#REF!</v>
      </c>
      <c r="W44" s="148"/>
      <c r="X44" s="160">
        <f t="shared" si="34"/>
        <v>45382</v>
      </c>
      <c r="Y44" s="169" t="e" cm="1">
        <f t="array" ref="Y44">AnnualReturn(R9:R44)</f>
        <v>#VALUE!</v>
      </c>
      <c r="Z44" s="169" t="e" cm="1">
        <f t="array" ref="Z44">AnnualReturn(S9:S44)</f>
        <v>#VALUE!</v>
      </c>
      <c r="AA44" s="169" t="e" cm="1">
        <f t="array" ref="AA44">AnnualReturn(T9:T44)</f>
        <v>#VALUE!</v>
      </c>
      <c r="AB44" s="169" t="e" cm="1">
        <f t="array" ref="AB44">AnnualReturn(U9:U44)</f>
        <v>#VALUE!</v>
      </c>
      <c r="AC44" s="169" t="e" cm="1">
        <f t="array" ref="AC44">AnnualReturn(V9:V44)</f>
        <v>#VALUE!</v>
      </c>
      <c r="AD44" s="148"/>
      <c r="AE44" s="160">
        <f t="shared" si="26"/>
        <v>45382</v>
      </c>
      <c r="AF44" s="170" t="e">
        <f t="shared" si="28"/>
        <v>#REF!</v>
      </c>
      <c r="AG44" s="170" t="e">
        <f t="shared" si="29"/>
        <v>#REF!</v>
      </c>
      <c r="AH44" s="170" t="e">
        <f t="shared" si="30"/>
        <v>#REF!</v>
      </c>
      <c r="AI44" s="170" t="e">
        <f t="shared" si="31"/>
        <v>#REF!</v>
      </c>
      <c r="AJ44" s="170" t="e">
        <f t="shared" si="32"/>
        <v>#REF!</v>
      </c>
      <c r="AL44" s="151">
        <f>DB!A44</f>
        <v>45382</v>
      </c>
      <c r="AM44" s="149" t="e">
        <f>INDEX(DB!$B$2:$AB$62,MATCH(Perf!$AL44,DB!$A$2:$A$62,0),MATCH(Perf!AM$1,DB!$B$1:$AB$1,0))</f>
        <v>#REF!</v>
      </c>
      <c r="AN44" s="149" t="e">
        <f>INDEX(DB!$B$2:$AB$62,MATCH(Perf!$AL44,DB!$A$2:$A$62,0),MATCH(Perf!AN$1,DB!$B$1:$AB$1,0))</f>
        <v>#REF!</v>
      </c>
      <c r="AO44" s="149" t="e">
        <f>INDEX(DB!$B$2:$AB$62,MATCH(Perf!$AL44,DB!$A$2:$A$62,0),MATCH(Perf!AO$1,DB!$B$1:$AB$1,0))</f>
        <v>#REF!</v>
      </c>
      <c r="AP44" s="149" t="e">
        <f>INDEX(DB!$B$2:$AB$62,MATCH(Perf!$AL44,DB!$A$2:$A$62,0),MATCH(Perf!AP$1,DB!$B$1:$AB$1,0))</f>
        <v>#REF!</v>
      </c>
      <c r="AQ44" s="149" t="e">
        <f>INDEX(DB!$B$2:$AB$62,MATCH(Perf!$AL44,DB!$A$2:$A$62,0),MATCH(Perf!AQ$1,DB!$B$1:$AB$1,0))</f>
        <v>#REF!</v>
      </c>
      <c r="AR44" s="149" t="e">
        <f>INDEX(DB!$B$2:$AB$62,MATCH(Perf!$AL44,DB!$A$2:$A$62,0),MATCH(Perf!AR$1,DB!$B$1:$AB$1,0))</f>
        <v>#REF!</v>
      </c>
      <c r="AS44" s="149" t="e">
        <f>INDEX(DB!$B$2:$AB$62,MATCH(Perf!$AL44,DB!$A$2:$A$62,0),MATCH(Perf!AS$1,DB!$B$1:$AB$1,0))</f>
        <v>#REF!</v>
      </c>
      <c r="AT44" s="149" t="e">
        <f>INDEX(DB!$B$2:$AB$62,MATCH(Perf!$AL44,DB!$A$2:$A$62,0),MATCH(Perf!AT$1,DB!$B$1:$AB$1,0))</f>
        <v>#REF!</v>
      </c>
      <c r="AU44" s="149" t="e">
        <f>INDEX(DB!$B$2:$AB$62,MATCH(Perf!$AL44,DB!$A$2:$A$62,0),MATCH(Perf!AU$1,DB!$B$1:$AB$1,0))</f>
        <v>#REF!</v>
      </c>
      <c r="AV44" s="149" t="e">
        <f>INDEX(DB!$B$2:$AB$62,MATCH(Perf!$AL44,DB!$A$2:$A$62,0),MATCH(Perf!AV$1,DB!$B$1:$AB$1,0))</f>
        <v>#REF!</v>
      </c>
      <c r="AW44" s="149" t="e">
        <f>INDEX(DB!$B$2:$AB$62,MATCH(Perf!$AL44,DB!$A$2:$A$62,0),MATCH(Perf!AW$1,DB!$B$1:$AB$1,0))</f>
        <v>#REF!</v>
      </c>
      <c r="AX44" s="149" t="e">
        <f>INDEX(DB!$B$2:$AB$62,MATCH(Perf!$AL44,DB!$A$2:$A$62,0),MATCH(Perf!AX$1,DB!$B$1:$AB$1,0))</f>
        <v>#REF!</v>
      </c>
      <c r="AY44" s="149" t="e">
        <f>INDEX(DB!$B$2:$AB$62,MATCH(Perf!$AL44,DB!$A$2:$A$62,0),MATCH(Perf!AY$1,DB!$B$1:$AB$1,0))</f>
        <v>#REF!</v>
      </c>
      <c r="AZ44" s="149" t="e">
        <f>INDEX(DB!$B$2:$AB$62,MATCH(Perf!$AL44,DB!$A$2:$A$62,0),MATCH(Perf!AZ$1,DB!$B$1:$AB$1,0))</f>
        <v>#REF!</v>
      </c>
      <c r="BA44" s="149" t="e">
        <f>INDEX(DB!$B$2:$AB$62,MATCH(Perf!$AL44,DB!$A$2:$A$62,0),MATCH(Perf!BA$1,DB!$B$1:$AB$1,0))</f>
        <v>#REF!</v>
      </c>
      <c r="BB44" s="149" t="e">
        <f>INDEX(DB!$B$2:$AB$62,MATCH(Perf!$AL44,DB!$A$2:$A$62,0),MATCH(Perf!BB$1,DB!$B$1:$AB$1,0))</f>
        <v>#REF!</v>
      </c>
      <c r="BC44" s="149" t="e">
        <f>INDEX(DB!$B$2:$AB$62,MATCH(Perf!$AL44,DB!$A$2:$A$62,0),MATCH(Perf!BC$1,DB!$B$1:$AB$1,0))</f>
        <v>#REF!</v>
      </c>
      <c r="BD44" s="149" t="e">
        <f>INDEX(DB!$B$2:$AB$62,MATCH(Perf!$AL44,DB!$A$2:$A$62,0),MATCH(Perf!BD$1,DB!$B$1:$AB$1,0))</f>
        <v>#REF!</v>
      </c>
      <c r="BE44" s="149" t="e">
        <f>INDEX(DB!$B$2:$AB$62,MATCH(Perf!$AL44,DB!$A$2:$A$62,0),MATCH(Perf!BE$1,DB!$B$1:$AB$1,0))</f>
        <v>#REF!</v>
      </c>
      <c r="BF44" s="149" t="e">
        <f>INDEX(DB!$B$2:$AB$62,MATCH(Perf!$AL44,DB!$A$2:$A$62,0),MATCH(Perf!BF$1,DB!$B$1:$AB$1,0))</f>
        <v>#REF!</v>
      </c>
      <c r="BG44" s="149" t="e">
        <f>INDEX(DB!$B$2:$AB$62,MATCH(Perf!$AL44,DB!$A$2:$A$62,0),MATCH(Perf!BG$1,DB!$B$1:$AB$1,0))</f>
        <v>#REF!</v>
      </c>
      <c r="BH44" s="149" t="e">
        <f>INDEX(DB!$B$2:$AB$62,MATCH(Perf!$AL44,DB!$A$2:$A$62,0),MATCH(Perf!BH$1,DB!$B$1:$AB$1,0))</f>
        <v>#REF!</v>
      </c>
      <c r="BI44" s="149" t="e">
        <f>INDEX(DB!$B$2:$AB$62,MATCH(Perf!$AL44,DB!$A$2:$A$62,0),MATCH(Perf!BI$1,DB!$B$1:$AB$1,0))</f>
        <v>#REF!</v>
      </c>
      <c r="BJ44" s="149" t="e">
        <f t="shared" si="18"/>
        <v>#REF!</v>
      </c>
      <c r="BK44" s="149" t="e">
        <f>INDEX(DB!$B$2:$AB$62,MATCH(Perf!$AL44,DB!$A$2:$A$62,0),MATCH(Perf!BK$1,DB!$B$1:$AB$1,0))</f>
        <v>#REF!</v>
      </c>
      <c r="BL44" s="149" t="e">
        <f>INDEX(DB!$B$2:$AB$62,MATCH(Perf!$AL44,DB!$A$2:$A$62,0),MATCH(Perf!BL$1,DB!$B$1:$AB$1,0))</f>
        <v>#REF!</v>
      </c>
      <c r="BM44" s="149" t="e">
        <f>INDEX(DB!$B$2:$AB$62,MATCH(Perf!$AL44,DB!$A$2:$A$62,0),MATCH(Perf!BM$1,DB!$B$1:$AB$1,0))</f>
        <v>#REF!</v>
      </c>
    </row>
    <row r="45" spans="1:65" x14ac:dyDescent="0.15">
      <c r="A45" s="151">
        <f t="shared" si="8"/>
        <v>45412</v>
      </c>
      <c r="B45" s="148" t="e" cm="1">
        <f t="array" ref="B45">SUMPRODUCT(TRANSPOSE(#REF!),Perf!$AM45:$BN45)/100</f>
        <v>#REF!</v>
      </c>
      <c r="C45" s="148" t="e" cm="1">
        <f t="array" ref="C45">SUMPRODUCT(TRANSPOSE(#REF!),Perf!$AM45:$BN45)/100</f>
        <v>#REF!</v>
      </c>
      <c r="D45" s="148" t="e" cm="1">
        <f t="array" ref="D45">SUMPRODUCT(TRANSPOSE(#REF!),Perf!$AM45:$BN45)/100</f>
        <v>#REF!</v>
      </c>
      <c r="E45" s="148" t="e" cm="1">
        <f t="array" ref="E45">SUMPRODUCT(TRANSPOSE(#REF!),Perf!$AM45:$BN45)/100</f>
        <v>#REF!</v>
      </c>
      <c r="F45" s="148" t="e" cm="1">
        <f t="array" ref="F45">SUMPRODUCT(TRANSPOSE(#REF!),Perf!$AM45:$BN45)/100</f>
        <v>#REF!</v>
      </c>
      <c r="G45" s="148" t="e">
        <f t="shared" si="9"/>
        <v>#REF!</v>
      </c>
      <c r="H45" s="148"/>
      <c r="I45" s="160">
        <f t="shared" si="33"/>
        <v>45382</v>
      </c>
      <c r="J45" s="148" t="e">
        <f t="shared" si="19"/>
        <v>#REF!</v>
      </c>
      <c r="K45" s="148" t="e">
        <f t="shared" si="20"/>
        <v>#REF!</v>
      </c>
      <c r="L45" s="148" t="e">
        <f t="shared" si="21"/>
        <v>#REF!</v>
      </c>
      <c r="M45" s="148" t="e">
        <f t="shared" si="22"/>
        <v>#REF!</v>
      </c>
      <c r="N45" s="148" t="e">
        <f t="shared" si="23"/>
        <v>#REF!</v>
      </c>
      <c r="O45" s="148" t="e">
        <f t="shared" si="24"/>
        <v>#REF!</v>
      </c>
      <c r="P45" s="148"/>
      <c r="Q45" s="160">
        <f t="shared" si="12"/>
        <v>45412</v>
      </c>
      <c r="R45" s="148" t="e">
        <f t="shared" si="13"/>
        <v>#REF!</v>
      </c>
      <c r="S45" s="148" t="e">
        <f t="shared" si="14"/>
        <v>#REF!</v>
      </c>
      <c r="T45" s="148" t="e">
        <f t="shared" si="15"/>
        <v>#REF!</v>
      </c>
      <c r="U45" s="148" t="e">
        <f t="shared" si="16"/>
        <v>#REF!</v>
      </c>
      <c r="V45" s="148" t="e">
        <f t="shared" si="17"/>
        <v>#REF!</v>
      </c>
      <c r="W45" s="148"/>
      <c r="X45" s="160">
        <f t="shared" si="34"/>
        <v>45412</v>
      </c>
      <c r="Y45" s="169" t="e" cm="1">
        <f t="array" ref="Y45">AnnualReturn(R10:R45)</f>
        <v>#VALUE!</v>
      </c>
      <c r="Z45" s="169" t="e" cm="1">
        <f t="array" ref="Z45">AnnualReturn(S10:S45)</f>
        <v>#VALUE!</v>
      </c>
      <c r="AA45" s="169" t="e" cm="1">
        <f t="array" ref="AA45">AnnualReturn(T10:T45)</f>
        <v>#VALUE!</v>
      </c>
      <c r="AB45" s="169" t="e" cm="1">
        <f t="array" ref="AB45">AnnualReturn(U10:U45)</f>
        <v>#VALUE!</v>
      </c>
      <c r="AC45" s="169" t="e" cm="1">
        <f t="array" ref="AC45">AnnualReturn(V10:V45)</f>
        <v>#VALUE!</v>
      </c>
      <c r="AD45" s="148"/>
      <c r="AE45" s="160">
        <f t="shared" ref="AE45:AE62" si="35">A45</f>
        <v>45412</v>
      </c>
      <c r="AF45" s="170" t="e">
        <f t="shared" si="28"/>
        <v>#REF!</v>
      </c>
      <c r="AG45" s="170" t="e">
        <f t="shared" si="29"/>
        <v>#REF!</v>
      </c>
      <c r="AH45" s="170" t="e">
        <f t="shared" si="30"/>
        <v>#REF!</v>
      </c>
      <c r="AI45" s="170" t="e">
        <f t="shared" si="31"/>
        <v>#REF!</v>
      </c>
      <c r="AJ45" s="170" t="e">
        <f t="shared" si="32"/>
        <v>#REF!</v>
      </c>
      <c r="AL45" s="151">
        <f>DB!A45</f>
        <v>45412</v>
      </c>
      <c r="AM45" s="149" t="e">
        <f>INDEX(DB!$B$2:$AB$62,MATCH(Perf!$AL45,DB!$A$2:$A$62,0),MATCH(Perf!AM$1,DB!$B$1:$AB$1,0))</f>
        <v>#REF!</v>
      </c>
      <c r="AN45" s="149" t="e">
        <f>INDEX(DB!$B$2:$AB$62,MATCH(Perf!$AL45,DB!$A$2:$A$62,0),MATCH(Perf!AN$1,DB!$B$1:$AB$1,0))</f>
        <v>#REF!</v>
      </c>
      <c r="AO45" s="149" t="e">
        <f>INDEX(DB!$B$2:$AB$62,MATCH(Perf!$AL45,DB!$A$2:$A$62,0),MATCH(Perf!AO$1,DB!$B$1:$AB$1,0))</f>
        <v>#REF!</v>
      </c>
      <c r="AP45" s="149" t="e">
        <f>INDEX(DB!$B$2:$AB$62,MATCH(Perf!$AL45,DB!$A$2:$A$62,0),MATCH(Perf!AP$1,DB!$B$1:$AB$1,0))</f>
        <v>#REF!</v>
      </c>
      <c r="AQ45" s="149" t="e">
        <f>INDEX(DB!$B$2:$AB$62,MATCH(Perf!$AL45,DB!$A$2:$A$62,0),MATCH(Perf!AQ$1,DB!$B$1:$AB$1,0))</f>
        <v>#REF!</v>
      </c>
      <c r="AR45" s="149" t="e">
        <f>INDEX(DB!$B$2:$AB$62,MATCH(Perf!$AL45,DB!$A$2:$A$62,0),MATCH(Perf!AR$1,DB!$B$1:$AB$1,0))</f>
        <v>#REF!</v>
      </c>
      <c r="AS45" s="149" t="e">
        <f>INDEX(DB!$B$2:$AB$62,MATCH(Perf!$AL45,DB!$A$2:$A$62,0),MATCH(Perf!AS$1,DB!$B$1:$AB$1,0))</f>
        <v>#REF!</v>
      </c>
      <c r="AT45" s="149" t="e">
        <f>INDEX(DB!$B$2:$AB$62,MATCH(Perf!$AL45,DB!$A$2:$A$62,0),MATCH(Perf!AT$1,DB!$B$1:$AB$1,0))</f>
        <v>#REF!</v>
      </c>
      <c r="AU45" s="149" t="e">
        <f>INDEX(DB!$B$2:$AB$62,MATCH(Perf!$AL45,DB!$A$2:$A$62,0),MATCH(Perf!AU$1,DB!$B$1:$AB$1,0))</f>
        <v>#REF!</v>
      </c>
      <c r="AV45" s="149" t="e">
        <f>INDEX(DB!$B$2:$AB$62,MATCH(Perf!$AL45,DB!$A$2:$A$62,0),MATCH(Perf!AV$1,DB!$B$1:$AB$1,0))</f>
        <v>#REF!</v>
      </c>
      <c r="AW45" s="149" t="e">
        <f>INDEX(DB!$B$2:$AB$62,MATCH(Perf!$AL45,DB!$A$2:$A$62,0),MATCH(Perf!AW$1,DB!$B$1:$AB$1,0))</f>
        <v>#REF!</v>
      </c>
      <c r="AX45" s="149" t="e">
        <f>INDEX(DB!$B$2:$AB$62,MATCH(Perf!$AL45,DB!$A$2:$A$62,0),MATCH(Perf!AX$1,DB!$B$1:$AB$1,0))</f>
        <v>#REF!</v>
      </c>
      <c r="AY45" s="149" t="e">
        <f>INDEX(DB!$B$2:$AB$62,MATCH(Perf!$AL45,DB!$A$2:$A$62,0),MATCH(Perf!AY$1,DB!$B$1:$AB$1,0))</f>
        <v>#REF!</v>
      </c>
      <c r="AZ45" s="149" t="e">
        <f>INDEX(DB!$B$2:$AB$62,MATCH(Perf!$AL45,DB!$A$2:$A$62,0),MATCH(Perf!AZ$1,DB!$B$1:$AB$1,0))</f>
        <v>#REF!</v>
      </c>
      <c r="BA45" s="149" t="e">
        <f>INDEX(DB!$B$2:$AB$62,MATCH(Perf!$AL45,DB!$A$2:$A$62,0),MATCH(Perf!BA$1,DB!$B$1:$AB$1,0))</f>
        <v>#REF!</v>
      </c>
      <c r="BB45" s="149" t="e">
        <f>INDEX(DB!$B$2:$AB$62,MATCH(Perf!$AL45,DB!$A$2:$A$62,0),MATCH(Perf!BB$1,DB!$B$1:$AB$1,0))</f>
        <v>#REF!</v>
      </c>
      <c r="BC45" s="149" t="e">
        <f>INDEX(DB!$B$2:$AB$62,MATCH(Perf!$AL45,DB!$A$2:$A$62,0),MATCH(Perf!BC$1,DB!$B$1:$AB$1,0))</f>
        <v>#REF!</v>
      </c>
      <c r="BD45" s="149" t="e">
        <f>INDEX(DB!$B$2:$AB$62,MATCH(Perf!$AL45,DB!$A$2:$A$62,0),MATCH(Perf!BD$1,DB!$B$1:$AB$1,0))</f>
        <v>#REF!</v>
      </c>
      <c r="BE45" s="149" t="e">
        <f>INDEX(DB!$B$2:$AB$62,MATCH(Perf!$AL45,DB!$A$2:$A$62,0),MATCH(Perf!BE$1,DB!$B$1:$AB$1,0))</f>
        <v>#REF!</v>
      </c>
      <c r="BF45" s="149" t="e">
        <f>INDEX(DB!$B$2:$AB$62,MATCH(Perf!$AL45,DB!$A$2:$A$62,0),MATCH(Perf!BF$1,DB!$B$1:$AB$1,0))</f>
        <v>#REF!</v>
      </c>
      <c r="BG45" s="149" t="e">
        <f>INDEX(DB!$B$2:$AB$62,MATCH(Perf!$AL45,DB!$A$2:$A$62,0),MATCH(Perf!BG$1,DB!$B$1:$AB$1,0))</f>
        <v>#REF!</v>
      </c>
      <c r="BH45" s="149" t="e">
        <f>INDEX(DB!$B$2:$AB$62,MATCH(Perf!$AL45,DB!$A$2:$A$62,0),MATCH(Perf!BH$1,DB!$B$1:$AB$1,0))</f>
        <v>#REF!</v>
      </c>
      <c r="BI45" s="149" t="e">
        <f>INDEX(DB!$B$2:$AB$62,MATCH(Perf!$AL45,DB!$A$2:$A$62,0),MATCH(Perf!BI$1,DB!$B$1:$AB$1,0))</f>
        <v>#REF!</v>
      </c>
      <c r="BJ45" s="149" t="e">
        <f t="shared" si="18"/>
        <v>#REF!</v>
      </c>
      <c r="BK45" s="149" t="e">
        <f>INDEX(DB!$B$2:$AB$62,MATCH(Perf!$AL45,DB!$A$2:$A$62,0),MATCH(Perf!BK$1,DB!$B$1:$AB$1,0))</f>
        <v>#REF!</v>
      </c>
      <c r="BL45" s="149" t="e">
        <f>INDEX(DB!$B$2:$AB$62,MATCH(Perf!$AL45,DB!$A$2:$A$62,0),MATCH(Perf!BL$1,DB!$B$1:$AB$1,0))</f>
        <v>#REF!</v>
      </c>
      <c r="BM45" s="149" t="e">
        <f>INDEX(DB!$B$2:$AB$62,MATCH(Perf!$AL45,DB!$A$2:$A$62,0),MATCH(Perf!BM$1,DB!$B$1:$AB$1,0))</f>
        <v>#REF!</v>
      </c>
    </row>
    <row r="46" spans="1:65" x14ac:dyDescent="0.15">
      <c r="A46" s="151">
        <f t="shared" si="8"/>
        <v>45443</v>
      </c>
      <c r="B46" s="148" t="e" cm="1">
        <f t="array" ref="B46">SUMPRODUCT(TRANSPOSE(#REF!),Perf!$AM46:$BN46)/100</f>
        <v>#REF!</v>
      </c>
      <c r="C46" s="148" t="e" cm="1">
        <f t="array" ref="C46">SUMPRODUCT(TRANSPOSE(#REF!),Perf!$AM46:$BN46)/100</f>
        <v>#REF!</v>
      </c>
      <c r="D46" s="148" t="e" cm="1">
        <f t="array" ref="D46">SUMPRODUCT(TRANSPOSE(#REF!),Perf!$AM46:$BN46)/100</f>
        <v>#REF!</v>
      </c>
      <c r="E46" s="148" t="e" cm="1">
        <f t="array" ref="E46">SUMPRODUCT(TRANSPOSE(#REF!),Perf!$AM46:$BN46)/100</f>
        <v>#REF!</v>
      </c>
      <c r="F46" s="148" t="e" cm="1">
        <f t="array" ref="F46">SUMPRODUCT(TRANSPOSE(#REF!),Perf!$AM46:$BN46)/100</f>
        <v>#REF!</v>
      </c>
      <c r="G46" s="148" t="e">
        <f t="shared" si="9"/>
        <v>#REF!</v>
      </c>
      <c r="H46" s="148"/>
      <c r="I46" s="160">
        <f t="shared" si="33"/>
        <v>45412</v>
      </c>
      <c r="J46" s="148" t="e">
        <f t="shared" si="19"/>
        <v>#REF!</v>
      </c>
      <c r="K46" s="148" t="e">
        <f t="shared" si="20"/>
        <v>#REF!</v>
      </c>
      <c r="L46" s="148" t="e">
        <f t="shared" si="21"/>
        <v>#REF!</v>
      </c>
      <c r="M46" s="148" t="e">
        <f t="shared" si="22"/>
        <v>#REF!</v>
      </c>
      <c r="N46" s="148" t="e">
        <f t="shared" si="23"/>
        <v>#REF!</v>
      </c>
      <c r="O46" s="148" t="e">
        <f t="shared" si="24"/>
        <v>#REF!</v>
      </c>
      <c r="P46" s="148"/>
      <c r="Q46" s="160">
        <f t="shared" si="12"/>
        <v>45443</v>
      </c>
      <c r="R46" s="148" t="e">
        <f t="shared" si="13"/>
        <v>#REF!</v>
      </c>
      <c r="S46" s="148" t="e">
        <f t="shared" si="14"/>
        <v>#REF!</v>
      </c>
      <c r="T46" s="148" t="e">
        <f t="shared" si="15"/>
        <v>#REF!</v>
      </c>
      <c r="U46" s="148" t="e">
        <f t="shared" si="16"/>
        <v>#REF!</v>
      </c>
      <c r="V46" s="148" t="e">
        <f t="shared" si="17"/>
        <v>#REF!</v>
      </c>
      <c r="W46" s="148"/>
      <c r="X46" s="160">
        <f t="shared" si="34"/>
        <v>45443</v>
      </c>
      <c r="Y46" s="169" t="e" cm="1">
        <f t="array" ref="Y46">AnnualReturn(R11:R46)</f>
        <v>#VALUE!</v>
      </c>
      <c r="Z46" s="169" t="e" cm="1">
        <f t="array" ref="Z46">AnnualReturn(S11:S46)</f>
        <v>#VALUE!</v>
      </c>
      <c r="AA46" s="169" t="e" cm="1">
        <f t="array" ref="AA46">AnnualReturn(T11:T46)</f>
        <v>#VALUE!</v>
      </c>
      <c r="AB46" s="169" t="e" cm="1">
        <f t="array" ref="AB46">AnnualReturn(U11:U46)</f>
        <v>#VALUE!</v>
      </c>
      <c r="AC46" s="169" t="e" cm="1">
        <f t="array" ref="AC46">AnnualReturn(V11:V46)</f>
        <v>#VALUE!</v>
      </c>
      <c r="AD46" s="148"/>
      <c r="AE46" s="160">
        <f t="shared" si="35"/>
        <v>45443</v>
      </c>
      <c r="AF46" s="170" t="e">
        <f t="shared" si="28"/>
        <v>#REF!</v>
      </c>
      <c r="AG46" s="170" t="e">
        <f t="shared" si="29"/>
        <v>#REF!</v>
      </c>
      <c r="AH46" s="170" t="e">
        <f t="shared" si="30"/>
        <v>#REF!</v>
      </c>
      <c r="AI46" s="170" t="e">
        <f t="shared" si="31"/>
        <v>#REF!</v>
      </c>
      <c r="AJ46" s="170" t="e">
        <f t="shared" si="32"/>
        <v>#REF!</v>
      </c>
      <c r="AL46" s="151">
        <f>DB!A46</f>
        <v>45443</v>
      </c>
      <c r="AM46" s="149" t="e">
        <f>INDEX(DB!$B$2:$AB$62,MATCH(Perf!$AL46,DB!$A$2:$A$62,0),MATCH(Perf!AM$1,DB!$B$1:$AB$1,0))</f>
        <v>#REF!</v>
      </c>
      <c r="AN46" s="149" t="e">
        <f>INDEX(DB!$B$2:$AB$62,MATCH(Perf!$AL46,DB!$A$2:$A$62,0),MATCH(Perf!AN$1,DB!$B$1:$AB$1,0))</f>
        <v>#REF!</v>
      </c>
      <c r="AO46" s="149" t="e">
        <f>INDEX(DB!$B$2:$AB$62,MATCH(Perf!$AL46,DB!$A$2:$A$62,0),MATCH(Perf!AO$1,DB!$B$1:$AB$1,0))</f>
        <v>#REF!</v>
      </c>
      <c r="AP46" s="149" t="e">
        <f>INDEX(DB!$B$2:$AB$62,MATCH(Perf!$AL46,DB!$A$2:$A$62,0),MATCH(Perf!AP$1,DB!$B$1:$AB$1,0))</f>
        <v>#REF!</v>
      </c>
      <c r="AQ46" s="149" t="e">
        <f>INDEX(DB!$B$2:$AB$62,MATCH(Perf!$AL46,DB!$A$2:$A$62,0),MATCH(Perf!AQ$1,DB!$B$1:$AB$1,0))</f>
        <v>#REF!</v>
      </c>
      <c r="AR46" s="149" t="e">
        <f>INDEX(DB!$B$2:$AB$62,MATCH(Perf!$AL46,DB!$A$2:$A$62,0),MATCH(Perf!AR$1,DB!$B$1:$AB$1,0))</f>
        <v>#REF!</v>
      </c>
      <c r="AS46" s="149" t="e">
        <f>INDEX(DB!$B$2:$AB$62,MATCH(Perf!$AL46,DB!$A$2:$A$62,0),MATCH(Perf!AS$1,DB!$B$1:$AB$1,0))</f>
        <v>#REF!</v>
      </c>
      <c r="AT46" s="149" t="e">
        <f>INDEX(DB!$B$2:$AB$62,MATCH(Perf!$AL46,DB!$A$2:$A$62,0),MATCH(Perf!AT$1,DB!$B$1:$AB$1,0))</f>
        <v>#REF!</v>
      </c>
      <c r="AU46" s="149" t="e">
        <f>INDEX(DB!$B$2:$AB$62,MATCH(Perf!$AL46,DB!$A$2:$A$62,0),MATCH(Perf!AU$1,DB!$B$1:$AB$1,0))</f>
        <v>#REF!</v>
      </c>
      <c r="AV46" s="149" t="e">
        <f>INDEX(DB!$B$2:$AB$62,MATCH(Perf!$AL46,DB!$A$2:$A$62,0),MATCH(Perf!AV$1,DB!$B$1:$AB$1,0))</f>
        <v>#REF!</v>
      </c>
      <c r="AW46" s="149" t="e">
        <f>INDEX(DB!$B$2:$AB$62,MATCH(Perf!$AL46,DB!$A$2:$A$62,0),MATCH(Perf!AW$1,DB!$B$1:$AB$1,0))</f>
        <v>#REF!</v>
      </c>
      <c r="AX46" s="149" t="e">
        <f>INDEX(DB!$B$2:$AB$62,MATCH(Perf!$AL46,DB!$A$2:$A$62,0),MATCH(Perf!AX$1,DB!$B$1:$AB$1,0))</f>
        <v>#REF!</v>
      </c>
      <c r="AY46" s="149" t="e">
        <f>INDEX(DB!$B$2:$AB$62,MATCH(Perf!$AL46,DB!$A$2:$A$62,0),MATCH(Perf!AY$1,DB!$B$1:$AB$1,0))</f>
        <v>#REF!</v>
      </c>
      <c r="AZ46" s="149" t="e">
        <f>INDEX(DB!$B$2:$AB$62,MATCH(Perf!$AL46,DB!$A$2:$A$62,0),MATCH(Perf!AZ$1,DB!$B$1:$AB$1,0))</f>
        <v>#REF!</v>
      </c>
      <c r="BA46" s="149" t="e">
        <f>INDEX(DB!$B$2:$AB$62,MATCH(Perf!$AL46,DB!$A$2:$A$62,0),MATCH(Perf!BA$1,DB!$B$1:$AB$1,0))</f>
        <v>#REF!</v>
      </c>
      <c r="BB46" s="149" t="e">
        <f>INDEX(DB!$B$2:$AB$62,MATCH(Perf!$AL46,DB!$A$2:$A$62,0),MATCH(Perf!BB$1,DB!$B$1:$AB$1,0))</f>
        <v>#REF!</v>
      </c>
      <c r="BC46" s="149" t="e">
        <f>INDEX(DB!$B$2:$AB$62,MATCH(Perf!$AL46,DB!$A$2:$A$62,0),MATCH(Perf!BC$1,DB!$B$1:$AB$1,0))</f>
        <v>#REF!</v>
      </c>
      <c r="BD46" s="149" t="e">
        <f>INDEX(DB!$B$2:$AB$62,MATCH(Perf!$AL46,DB!$A$2:$A$62,0),MATCH(Perf!BD$1,DB!$B$1:$AB$1,0))</f>
        <v>#REF!</v>
      </c>
      <c r="BE46" s="149" t="e">
        <f>INDEX(DB!$B$2:$AB$62,MATCH(Perf!$AL46,DB!$A$2:$A$62,0),MATCH(Perf!BE$1,DB!$B$1:$AB$1,0))</f>
        <v>#REF!</v>
      </c>
      <c r="BF46" s="149" t="e">
        <f>INDEX(DB!$B$2:$AB$62,MATCH(Perf!$AL46,DB!$A$2:$A$62,0),MATCH(Perf!BF$1,DB!$B$1:$AB$1,0))</f>
        <v>#REF!</v>
      </c>
      <c r="BG46" s="149" t="e">
        <f>INDEX(DB!$B$2:$AB$62,MATCH(Perf!$AL46,DB!$A$2:$A$62,0),MATCH(Perf!BG$1,DB!$B$1:$AB$1,0))</f>
        <v>#REF!</v>
      </c>
      <c r="BH46" s="149" t="e">
        <f>INDEX(DB!$B$2:$AB$62,MATCH(Perf!$AL46,DB!$A$2:$A$62,0),MATCH(Perf!BH$1,DB!$B$1:$AB$1,0))</f>
        <v>#REF!</v>
      </c>
      <c r="BI46" s="149" t="e">
        <f>INDEX(DB!$B$2:$AB$62,MATCH(Perf!$AL46,DB!$A$2:$A$62,0),MATCH(Perf!BI$1,DB!$B$1:$AB$1,0))</f>
        <v>#REF!</v>
      </c>
      <c r="BJ46" s="149" t="e">
        <f t="shared" si="18"/>
        <v>#REF!</v>
      </c>
      <c r="BK46" s="149" t="e">
        <f>INDEX(DB!$B$2:$AB$62,MATCH(Perf!$AL46,DB!$A$2:$A$62,0),MATCH(Perf!BK$1,DB!$B$1:$AB$1,0))</f>
        <v>#REF!</v>
      </c>
      <c r="BL46" s="149" t="e">
        <f>INDEX(DB!$B$2:$AB$62,MATCH(Perf!$AL46,DB!$A$2:$A$62,0),MATCH(Perf!BL$1,DB!$B$1:$AB$1,0))</f>
        <v>#REF!</v>
      </c>
      <c r="BM46" s="149" t="e">
        <f>INDEX(DB!$B$2:$AB$62,MATCH(Perf!$AL46,DB!$A$2:$A$62,0),MATCH(Perf!BM$1,DB!$B$1:$AB$1,0))</f>
        <v>#REF!</v>
      </c>
    </row>
    <row r="47" spans="1:65" x14ac:dyDescent="0.15">
      <c r="A47" s="151">
        <f t="shared" si="8"/>
        <v>45473</v>
      </c>
      <c r="B47" s="148" t="e" cm="1">
        <f t="array" ref="B47">SUMPRODUCT(TRANSPOSE(#REF!),Perf!$AM47:$BN47)/100</f>
        <v>#REF!</v>
      </c>
      <c r="C47" s="148" t="e" cm="1">
        <f t="array" ref="C47">SUMPRODUCT(TRANSPOSE(#REF!),Perf!$AM47:$BN47)/100</f>
        <v>#REF!</v>
      </c>
      <c r="D47" s="148" t="e" cm="1">
        <f t="array" ref="D47">SUMPRODUCT(TRANSPOSE(#REF!),Perf!$AM47:$BN47)/100</f>
        <v>#REF!</v>
      </c>
      <c r="E47" s="148" t="e" cm="1">
        <f t="array" ref="E47">SUMPRODUCT(TRANSPOSE(#REF!),Perf!$AM47:$BN47)/100</f>
        <v>#REF!</v>
      </c>
      <c r="F47" s="148" t="e" cm="1">
        <f t="array" ref="F47">SUMPRODUCT(TRANSPOSE(#REF!),Perf!$AM47:$BN47)/100</f>
        <v>#REF!</v>
      </c>
      <c r="G47" s="148" t="e">
        <f t="shared" si="9"/>
        <v>#REF!</v>
      </c>
      <c r="H47" s="148"/>
      <c r="I47" s="160">
        <f t="shared" si="33"/>
        <v>45443</v>
      </c>
      <c r="J47" s="148" t="e">
        <f t="shared" si="19"/>
        <v>#REF!</v>
      </c>
      <c r="K47" s="148" t="e">
        <f t="shared" si="20"/>
        <v>#REF!</v>
      </c>
      <c r="L47" s="148" t="e">
        <f t="shared" si="21"/>
        <v>#REF!</v>
      </c>
      <c r="M47" s="148" t="e">
        <f t="shared" si="22"/>
        <v>#REF!</v>
      </c>
      <c r="N47" s="148" t="e">
        <f t="shared" si="23"/>
        <v>#REF!</v>
      </c>
      <c r="O47" s="148" t="e">
        <f t="shared" si="24"/>
        <v>#REF!</v>
      </c>
      <c r="P47" s="148"/>
      <c r="Q47" s="160">
        <f t="shared" si="12"/>
        <v>45473</v>
      </c>
      <c r="R47" s="148" t="e">
        <f t="shared" si="13"/>
        <v>#REF!</v>
      </c>
      <c r="S47" s="148" t="e">
        <f t="shared" si="14"/>
        <v>#REF!</v>
      </c>
      <c r="T47" s="148" t="e">
        <f t="shared" si="15"/>
        <v>#REF!</v>
      </c>
      <c r="U47" s="148" t="e">
        <f t="shared" si="16"/>
        <v>#REF!</v>
      </c>
      <c r="V47" s="148" t="e">
        <f t="shared" si="17"/>
        <v>#REF!</v>
      </c>
      <c r="W47" s="148"/>
      <c r="X47" s="160">
        <f t="shared" si="34"/>
        <v>45473</v>
      </c>
      <c r="Y47" s="169" t="e" cm="1">
        <f t="array" ref="Y47">AnnualReturn(R12:R47)</f>
        <v>#VALUE!</v>
      </c>
      <c r="Z47" s="169" t="e" cm="1">
        <f t="array" ref="Z47">AnnualReturn(S12:S47)</f>
        <v>#VALUE!</v>
      </c>
      <c r="AA47" s="169" t="e" cm="1">
        <f t="array" ref="AA47">AnnualReturn(T12:T47)</f>
        <v>#VALUE!</v>
      </c>
      <c r="AB47" s="169" t="e" cm="1">
        <f t="array" ref="AB47">AnnualReturn(U12:U47)</f>
        <v>#VALUE!</v>
      </c>
      <c r="AC47" s="169" t="e" cm="1">
        <f t="array" ref="AC47">AnnualReturn(V12:V47)</f>
        <v>#VALUE!</v>
      </c>
      <c r="AD47" s="148"/>
      <c r="AE47" s="160">
        <f t="shared" si="35"/>
        <v>45473</v>
      </c>
      <c r="AF47" s="170" t="e">
        <f t="shared" si="28"/>
        <v>#REF!</v>
      </c>
      <c r="AG47" s="170" t="e">
        <f t="shared" si="29"/>
        <v>#REF!</v>
      </c>
      <c r="AH47" s="170" t="e">
        <f t="shared" si="30"/>
        <v>#REF!</v>
      </c>
      <c r="AI47" s="170" t="e">
        <f t="shared" si="31"/>
        <v>#REF!</v>
      </c>
      <c r="AJ47" s="170" t="e">
        <f t="shared" si="32"/>
        <v>#REF!</v>
      </c>
      <c r="AL47" s="151">
        <f>DB!A47</f>
        <v>45473</v>
      </c>
      <c r="AM47" s="149" t="e">
        <f>INDEX(DB!$B$2:$AB$62,MATCH(Perf!$AL47,DB!$A$2:$A$62,0),MATCH(Perf!AM$1,DB!$B$1:$AB$1,0))</f>
        <v>#REF!</v>
      </c>
      <c r="AN47" s="149" t="e">
        <f>INDEX(DB!$B$2:$AB$62,MATCH(Perf!$AL47,DB!$A$2:$A$62,0),MATCH(Perf!AN$1,DB!$B$1:$AB$1,0))</f>
        <v>#REF!</v>
      </c>
      <c r="AO47" s="149" t="e">
        <f>INDEX(DB!$B$2:$AB$62,MATCH(Perf!$AL47,DB!$A$2:$A$62,0),MATCH(Perf!AO$1,DB!$B$1:$AB$1,0))</f>
        <v>#REF!</v>
      </c>
      <c r="AP47" s="149" t="e">
        <f>INDEX(DB!$B$2:$AB$62,MATCH(Perf!$AL47,DB!$A$2:$A$62,0),MATCH(Perf!AP$1,DB!$B$1:$AB$1,0))</f>
        <v>#REF!</v>
      </c>
      <c r="AQ47" s="149" t="e">
        <f>INDEX(DB!$B$2:$AB$62,MATCH(Perf!$AL47,DB!$A$2:$A$62,0),MATCH(Perf!AQ$1,DB!$B$1:$AB$1,0))</f>
        <v>#REF!</v>
      </c>
      <c r="AR47" s="149" t="e">
        <f>INDEX(DB!$B$2:$AB$62,MATCH(Perf!$AL47,DB!$A$2:$A$62,0),MATCH(Perf!AR$1,DB!$B$1:$AB$1,0))</f>
        <v>#REF!</v>
      </c>
      <c r="AS47" s="149" t="e">
        <f>INDEX(DB!$B$2:$AB$62,MATCH(Perf!$AL47,DB!$A$2:$A$62,0),MATCH(Perf!AS$1,DB!$B$1:$AB$1,0))</f>
        <v>#REF!</v>
      </c>
      <c r="AT47" s="149" t="e">
        <f>INDEX(DB!$B$2:$AB$62,MATCH(Perf!$AL47,DB!$A$2:$A$62,0),MATCH(Perf!AT$1,DB!$B$1:$AB$1,0))</f>
        <v>#REF!</v>
      </c>
      <c r="AU47" s="149" t="e">
        <f>INDEX(DB!$B$2:$AB$62,MATCH(Perf!$AL47,DB!$A$2:$A$62,0),MATCH(Perf!AU$1,DB!$B$1:$AB$1,0))</f>
        <v>#REF!</v>
      </c>
      <c r="AV47" s="149" t="e">
        <f>INDEX(DB!$B$2:$AB$62,MATCH(Perf!$AL47,DB!$A$2:$A$62,0),MATCH(Perf!AV$1,DB!$B$1:$AB$1,0))</f>
        <v>#REF!</v>
      </c>
      <c r="AW47" s="149" t="e">
        <f>INDEX(DB!$B$2:$AB$62,MATCH(Perf!$AL47,DB!$A$2:$A$62,0),MATCH(Perf!AW$1,DB!$B$1:$AB$1,0))</f>
        <v>#REF!</v>
      </c>
      <c r="AX47" s="149" t="e">
        <f>INDEX(DB!$B$2:$AB$62,MATCH(Perf!$AL47,DB!$A$2:$A$62,0),MATCH(Perf!AX$1,DB!$B$1:$AB$1,0))</f>
        <v>#REF!</v>
      </c>
      <c r="AY47" s="149" t="e">
        <f>INDEX(DB!$B$2:$AB$62,MATCH(Perf!$AL47,DB!$A$2:$A$62,0),MATCH(Perf!AY$1,DB!$B$1:$AB$1,0))</f>
        <v>#REF!</v>
      </c>
      <c r="AZ47" s="149" t="e">
        <f>INDEX(DB!$B$2:$AB$62,MATCH(Perf!$AL47,DB!$A$2:$A$62,0),MATCH(Perf!AZ$1,DB!$B$1:$AB$1,0))</f>
        <v>#REF!</v>
      </c>
      <c r="BA47" s="149" t="e">
        <f>INDEX(DB!$B$2:$AB$62,MATCH(Perf!$AL47,DB!$A$2:$A$62,0),MATCH(Perf!BA$1,DB!$B$1:$AB$1,0))</f>
        <v>#REF!</v>
      </c>
      <c r="BB47" s="149" t="e">
        <f>INDEX(DB!$B$2:$AB$62,MATCH(Perf!$AL47,DB!$A$2:$A$62,0),MATCH(Perf!BB$1,DB!$B$1:$AB$1,0))</f>
        <v>#REF!</v>
      </c>
      <c r="BC47" s="149" t="e">
        <f>INDEX(DB!$B$2:$AB$62,MATCH(Perf!$AL47,DB!$A$2:$A$62,0),MATCH(Perf!BC$1,DB!$B$1:$AB$1,0))</f>
        <v>#REF!</v>
      </c>
      <c r="BD47" s="149" t="e">
        <f>INDEX(DB!$B$2:$AB$62,MATCH(Perf!$AL47,DB!$A$2:$A$62,0),MATCH(Perf!BD$1,DB!$B$1:$AB$1,0))</f>
        <v>#REF!</v>
      </c>
      <c r="BE47" s="149" t="e">
        <f>INDEX(DB!$B$2:$AB$62,MATCH(Perf!$AL47,DB!$A$2:$A$62,0),MATCH(Perf!BE$1,DB!$B$1:$AB$1,0))</f>
        <v>#REF!</v>
      </c>
      <c r="BF47" s="149" t="e">
        <f>INDEX(DB!$B$2:$AB$62,MATCH(Perf!$AL47,DB!$A$2:$A$62,0),MATCH(Perf!BF$1,DB!$B$1:$AB$1,0))</f>
        <v>#REF!</v>
      </c>
      <c r="BG47" s="149" t="e">
        <f>INDEX(DB!$B$2:$AB$62,MATCH(Perf!$AL47,DB!$A$2:$A$62,0),MATCH(Perf!BG$1,DB!$B$1:$AB$1,0))</f>
        <v>#REF!</v>
      </c>
      <c r="BH47" s="149" t="e">
        <f>INDEX(DB!$B$2:$AB$62,MATCH(Perf!$AL47,DB!$A$2:$A$62,0),MATCH(Perf!BH$1,DB!$B$1:$AB$1,0))</f>
        <v>#REF!</v>
      </c>
      <c r="BI47" s="149" t="e">
        <f>INDEX(DB!$B$2:$AB$62,MATCH(Perf!$AL47,DB!$A$2:$A$62,0),MATCH(Perf!BI$1,DB!$B$1:$AB$1,0))</f>
        <v>#REF!</v>
      </c>
      <c r="BJ47" s="149" t="e">
        <f t="shared" si="18"/>
        <v>#REF!</v>
      </c>
      <c r="BK47" s="149" t="e">
        <f>INDEX(DB!$B$2:$AB$62,MATCH(Perf!$AL47,DB!$A$2:$A$62,0),MATCH(Perf!BK$1,DB!$B$1:$AB$1,0))</f>
        <v>#REF!</v>
      </c>
      <c r="BL47" s="149" t="e">
        <f>INDEX(DB!$B$2:$AB$62,MATCH(Perf!$AL47,DB!$A$2:$A$62,0),MATCH(Perf!BL$1,DB!$B$1:$AB$1,0))</f>
        <v>#REF!</v>
      </c>
      <c r="BM47" s="149" t="e">
        <f>INDEX(DB!$B$2:$AB$62,MATCH(Perf!$AL47,DB!$A$2:$A$62,0),MATCH(Perf!BM$1,DB!$B$1:$AB$1,0))</f>
        <v>#REF!</v>
      </c>
    </row>
    <row r="48" spans="1:65" x14ac:dyDescent="0.15">
      <c r="A48" s="151">
        <f t="shared" si="8"/>
        <v>45504</v>
      </c>
      <c r="B48" s="148" t="e" cm="1">
        <f t="array" ref="B48">SUMPRODUCT(TRANSPOSE(#REF!),Perf!$AM48:$BN48)/100</f>
        <v>#REF!</v>
      </c>
      <c r="C48" s="148" t="e" cm="1">
        <f t="array" ref="C48">SUMPRODUCT(TRANSPOSE(#REF!),Perf!$AM48:$BN48)/100</f>
        <v>#REF!</v>
      </c>
      <c r="D48" s="148" t="e" cm="1">
        <f t="array" ref="D48">SUMPRODUCT(TRANSPOSE(#REF!),Perf!$AM48:$BN48)/100</f>
        <v>#REF!</v>
      </c>
      <c r="E48" s="148" t="e" cm="1">
        <f t="array" ref="E48">SUMPRODUCT(TRANSPOSE(#REF!),Perf!$AM48:$BN48)/100</f>
        <v>#REF!</v>
      </c>
      <c r="F48" s="148" t="e" cm="1">
        <f t="array" ref="F48">SUMPRODUCT(TRANSPOSE(#REF!),Perf!$AM48:$BN48)/100</f>
        <v>#REF!</v>
      </c>
      <c r="G48" s="148" t="e">
        <f t="shared" si="9"/>
        <v>#REF!</v>
      </c>
      <c r="H48" s="148"/>
      <c r="I48" s="160">
        <f t="shared" si="33"/>
        <v>45473</v>
      </c>
      <c r="J48" s="148" t="e">
        <f t="shared" si="19"/>
        <v>#REF!</v>
      </c>
      <c r="K48" s="148" t="e">
        <f t="shared" si="20"/>
        <v>#REF!</v>
      </c>
      <c r="L48" s="148" t="e">
        <f t="shared" si="21"/>
        <v>#REF!</v>
      </c>
      <c r="M48" s="148" t="e">
        <f t="shared" si="22"/>
        <v>#REF!</v>
      </c>
      <c r="N48" s="148" t="e">
        <f t="shared" si="23"/>
        <v>#REF!</v>
      </c>
      <c r="O48" s="148" t="e">
        <f t="shared" si="24"/>
        <v>#REF!</v>
      </c>
      <c r="P48" s="148"/>
      <c r="Q48" s="160">
        <f t="shared" si="12"/>
        <v>45504</v>
      </c>
      <c r="R48" s="148" t="e">
        <f t="shared" si="13"/>
        <v>#REF!</v>
      </c>
      <c r="S48" s="148" t="e">
        <f t="shared" si="14"/>
        <v>#REF!</v>
      </c>
      <c r="T48" s="148" t="e">
        <f t="shared" si="15"/>
        <v>#REF!</v>
      </c>
      <c r="U48" s="148" t="e">
        <f t="shared" si="16"/>
        <v>#REF!</v>
      </c>
      <c r="V48" s="148" t="e">
        <f t="shared" si="17"/>
        <v>#REF!</v>
      </c>
      <c r="W48" s="148"/>
      <c r="X48" s="160">
        <f t="shared" si="34"/>
        <v>45504</v>
      </c>
      <c r="Y48" s="169" t="e" cm="1">
        <f t="array" ref="Y48">AnnualReturn(R13:R48)</f>
        <v>#VALUE!</v>
      </c>
      <c r="Z48" s="169" t="e" cm="1">
        <f t="array" ref="Z48">AnnualReturn(S13:S48)</f>
        <v>#VALUE!</v>
      </c>
      <c r="AA48" s="169" t="e" cm="1">
        <f t="array" ref="AA48">AnnualReturn(T13:T48)</f>
        <v>#VALUE!</v>
      </c>
      <c r="AB48" s="169" t="e" cm="1">
        <f t="array" ref="AB48">AnnualReturn(U13:U48)</f>
        <v>#VALUE!</v>
      </c>
      <c r="AC48" s="169" t="e" cm="1">
        <f t="array" ref="AC48">AnnualReturn(V13:V48)</f>
        <v>#VALUE!</v>
      </c>
      <c r="AD48" s="148"/>
      <c r="AE48" s="160">
        <f t="shared" si="35"/>
        <v>45504</v>
      </c>
      <c r="AF48" s="170" t="e">
        <f t="shared" si="28"/>
        <v>#REF!</v>
      </c>
      <c r="AG48" s="170" t="e">
        <f t="shared" si="29"/>
        <v>#REF!</v>
      </c>
      <c r="AH48" s="170" t="e">
        <f t="shared" si="30"/>
        <v>#REF!</v>
      </c>
      <c r="AI48" s="170" t="e">
        <f t="shared" si="31"/>
        <v>#REF!</v>
      </c>
      <c r="AJ48" s="170" t="e">
        <f t="shared" si="32"/>
        <v>#REF!</v>
      </c>
      <c r="AL48" s="151">
        <f>DB!A48</f>
        <v>45504</v>
      </c>
      <c r="AM48" s="149" t="e">
        <f>INDEX(DB!$B$2:$AB$62,MATCH(Perf!$AL48,DB!$A$2:$A$62,0),MATCH(Perf!AM$1,DB!$B$1:$AB$1,0))</f>
        <v>#REF!</v>
      </c>
      <c r="AN48" s="149" t="e">
        <f>INDEX(DB!$B$2:$AB$62,MATCH(Perf!$AL48,DB!$A$2:$A$62,0),MATCH(Perf!AN$1,DB!$B$1:$AB$1,0))</f>
        <v>#REF!</v>
      </c>
      <c r="AO48" s="149" t="e">
        <f>INDEX(DB!$B$2:$AB$62,MATCH(Perf!$AL48,DB!$A$2:$A$62,0),MATCH(Perf!AO$1,DB!$B$1:$AB$1,0))</f>
        <v>#REF!</v>
      </c>
      <c r="AP48" s="149" t="e">
        <f>INDEX(DB!$B$2:$AB$62,MATCH(Perf!$AL48,DB!$A$2:$A$62,0),MATCH(Perf!AP$1,DB!$B$1:$AB$1,0))</f>
        <v>#REF!</v>
      </c>
      <c r="AQ48" s="149" t="e">
        <f>INDEX(DB!$B$2:$AB$62,MATCH(Perf!$AL48,DB!$A$2:$A$62,0),MATCH(Perf!AQ$1,DB!$B$1:$AB$1,0))</f>
        <v>#REF!</v>
      </c>
      <c r="AR48" s="149" t="e">
        <f>INDEX(DB!$B$2:$AB$62,MATCH(Perf!$AL48,DB!$A$2:$A$62,0),MATCH(Perf!AR$1,DB!$B$1:$AB$1,0))</f>
        <v>#REF!</v>
      </c>
      <c r="AS48" s="149" t="e">
        <f>INDEX(DB!$B$2:$AB$62,MATCH(Perf!$AL48,DB!$A$2:$A$62,0),MATCH(Perf!AS$1,DB!$B$1:$AB$1,0))</f>
        <v>#REF!</v>
      </c>
      <c r="AT48" s="149" t="e">
        <f>INDEX(DB!$B$2:$AB$62,MATCH(Perf!$AL48,DB!$A$2:$A$62,0),MATCH(Perf!AT$1,DB!$B$1:$AB$1,0))</f>
        <v>#REF!</v>
      </c>
      <c r="AU48" s="149" t="e">
        <f>INDEX(DB!$B$2:$AB$62,MATCH(Perf!$AL48,DB!$A$2:$A$62,0),MATCH(Perf!AU$1,DB!$B$1:$AB$1,0))</f>
        <v>#REF!</v>
      </c>
      <c r="AV48" s="149" t="e">
        <f>INDEX(DB!$B$2:$AB$62,MATCH(Perf!$AL48,DB!$A$2:$A$62,0),MATCH(Perf!AV$1,DB!$B$1:$AB$1,0))</f>
        <v>#REF!</v>
      </c>
      <c r="AW48" s="149" t="e">
        <f>INDEX(DB!$B$2:$AB$62,MATCH(Perf!$AL48,DB!$A$2:$A$62,0),MATCH(Perf!AW$1,DB!$B$1:$AB$1,0))</f>
        <v>#REF!</v>
      </c>
      <c r="AX48" s="149" t="e">
        <f>INDEX(DB!$B$2:$AB$62,MATCH(Perf!$AL48,DB!$A$2:$A$62,0),MATCH(Perf!AX$1,DB!$B$1:$AB$1,0))</f>
        <v>#REF!</v>
      </c>
      <c r="AY48" s="149" t="e">
        <f>INDEX(DB!$B$2:$AB$62,MATCH(Perf!$AL48,DB!$A$2:$A$62,0),MATCH(Perf!AY$1,DB!$B$1:$AB$1,0))</f>
        <v>#REF!</v>
      </c>
      <c r="AZ48" s="149" t="e">
        <f>INDEX(DB!$B$2:$AB$62,MATCH(Perf!$AL48,DB!$A$2:$A$62,0),MATCH(Perf!AZ$1,DB!$B$1:$AB$1,0))</f>
        <v>#REF!</v>
      </c>
      <c r="BA48" s="149" t="e">
        <f>INDEX(DB!$B$2:$AB$62,MATCH(Perf!$AL48,DB!$A$2:$A$62,0),MATCH(Perf!BA$1,DB!$B$1:$AB$1,0))</f>
        <v>#REF!</v>
      </c>
      <c r="BB48" s="149" t="e">
        <f>INDEX(DB!$B$2:$AB$62,MATCH(Perf!$AL48,DB!$A$2:$A$62,0),MATCH(Perf!BB$1,DB!$B$1:$AB$1,0))</f>
        <v>#REF!</v>
      </c>
      <c r="BC48" s="149" t="e">
        <f>INDEX(DB!$B$2:$AB$62,MATCH(Perf!$AL48,DB!$A$2:$A$62,0),MATCH(Perf!BC$1,DB!$B$1:$AB$1,0))</f>
        <v>#REF!</v>
      </c>
      <c r="BD48" s="149" t="e">
        <f>INDEX(DB!$B$2:$AB$62,MATCH(Perf!$AL48,DB!$A$2:$A$62,0),MATCH(Perf!BD$1,DB!$B$1:$AB$1,0))</f>
        <v>#REF!</v>
      </c>
      <c r="BE48" s="149" t="e">
        <f>INDEX(DB!$B$2:$AB$62,MATCH(Perf!$AL48,DB!$A$2:$A$62,0),MATCH(Perf!BE$1,DB!$B$1:$AB$1,0))</f>
        <v>#REF!</v>
      </c>
      <c r="BF48" s="149" t="e">
        <f>INDEX(DB!$B$2:$AB$62,MATCH(Perf!$AL48,DB!$A$2:$A$62,0),MATCH(Perf!BF$1,DB!$B$1:$AB$1,0))</f>
        <v>#REF!</v>
      </c>
      <c r="BG48" s="149" t="e">
        <f>INDEX(DB!$B$2:$AB$62,MATCH(Perf!$AL48,DB!$A$2:$A$62,0),MATCH(Perf!BG$1,DB!$B$1:$AB$1,0))</f>
        <v>#REF!</v>
      </c>
      <c r="BH48" s="149" t="e">
        <f>INDEX(DB!$B$2:$AB$62,MATCH(Perf!$AL48,DB!$A$2:$A$62,0),MATCH(Perf!BH$1,DB!$B$1:$AB$1,0))</f>
        <v>#REF!</v>
      </c>
      <c r="BI48" s="149" t="e">
        <f>INDEX(DB!$B$2:$AB$62,MATCH(Perf!$AL48,DB!$A$2:$A$62,0),MATCH(Perf!BI$1,DB!$B$1:$AB$1,0))</f>
        <v>#REF!</v>
      </c>
      <c r="BJ48" s="149" t="e">
        <f t="shared" si="18"/>
        <v>#REF!</v>
      </c>
      <c r="BK48" s="149" t="e">
        <f>INDEX(DB!$B$2:$AB$62,MATCH(Perf!$AL48,DB!$A$2:$A$62,0),MATCH(Perf!BK$1,DB!$B$1:$AB$1,0))</f>
        <v>#REF!</v>
      </c>
      <c r="BL48" s="149" t="e">
        <f>INDEX(DB!$B$2:$AB$62,MATCH(Perf!$AL48,DB!$A$2:$A$62,0),MATCH(Perf!BL$1,DB!$B$1:$AB$1,0))</f>
        <v>#REF!</v>
      </c>
      <c r="BM48" s="149" t="e">
        <f>INDEX(DB!$B$2:$AB$62,MATCH(Perf!$AL48,DB!$A$2:$A$62,0),MATCH(Perf!BM$1,DB!$B$1:$AB$1,0))</f>
        <v>#REF!</v>
      </c>
    </row>
    <row r="49" spans="1:65" x14ac:dyDescent="0.15">
      <c r="A49" s="151">
        <f t="shared" si="8"/>
        <v>45535</v>
      </c>
      <c r="B49" s="148" t="e" cm="1">
        <f t="array" ref="B49">SUMPRODUCT(TRANSPOSE(#REF!),Perf!$AM49:$BN49)/100</f>
        <v>#REF!</v>
      </c>
      <c r="C49" s="148" t="e" cm="1">
        <f t="array" ref="C49">SUMPRODUCT(TRANSPOSE(#REF!),Perf!$AM49:$BN49)/100</f>
        <v>#REF!</v>
      </c>
      <c r="D49" s="148" t="e" cm="1">
        <f t="array" ref="D49">SUMPRODUCT(TRANSPOSE(#REF!),Perf!$AM49:$BN49)/100</f>
        <v>#REF!</v>
      </c>
      <c r="E49" s="148" t="e" cm="1">
        <f t="array" ref="E49">SUMPRODUCT(TRANSPOSE(#REF!),Perf!$AM49:$BN49)/100</f>
        <v>#REF!</v>
      </c>
      <c r="F49" s="148" t="e" cm="1">
        <f t="array" ref="F49">SUMPRODUCT(TRANSPOSE(#REF!),Perf!$AM49:$BN49)/100</f>
        <v>#REF!</v>
      </c>
      <c r="G49" s="148" t="e">
        <f t="shared" si="9"/>
        <v>#REF!</v>
      </c>
      <c r="H49" s="148"/>
      <c r="I49" s="160">
        <f t="shared" si="33"/>
        <v>45504</v>
      </c>
      <c r="J49" s="148" t="e">
        <f t="shared" si="19"/>
        <v>#REF!</v>
      </c>
      <c r="K49" s="148" t="e">
        <f t="shared" si="20"/>
        <v>#REF!</v>
      </c>
      <c r="L49" s="148" t="e">
        <f t="shared" si="21"/>
        <v>#REF!</v>
      </c>
      <c r="M49" s="148" t="e">
        <f t="shared" si="22"/>
        <v>#REF!</v>
      </c>
      <c r="N49" s="148" t="e">
        <f t="shared" si="23"/>
        <v>#REF!</v>
      </c>
      <c r="O49" s="148" t="e">
        <f t="shared" si="24"/>
        <v>#REF!</v>
      </c>
      <c r="P49" s="148"/>
      <c r="Q49" s="160">
        <f t="shared" si="12"/>
        <v>45535</v>
      </c>
      <c r="R49" s="148" t="e">
        <f t="shared" si="13"/>
        <v>#REF!</v>
      </c>
      <c r="S49" s="148" t="e">
        <f t="shared" si="14"/>
        <v>#REF!</v>
      </c>
      <c r="T49" s="148" t="e">
        <f t="shared" si="15"/>
        <v>#REF!</v>
      </c>
      <c r="U49" s="148" t="e">
        <f t="shared" si="16"/>
        <v>#REF!</v>
      </c>
      <c r="V49" s="148" t="e">
        <f t="shared" si="17"/>
        <v>#REF!</v>
      </c>
      <c r="W49" s="148"/>
      <c r="X49" s="160">
        <f t="shared" si="34"/>
        <v>45535</v>
      </c>
      <c r="Y49" s="169" t="e" cm="1">
        <f t="array" ref="Y49">AnnualReturn(R14:R49)</f>
        <v>#VALUE!</v>
      </c>
      <c r="Z49" s="169" t="e" cm="1">
        <f t="array" ref="Z49">AnnualReturn(S14:S49)</f>
        <v>#VALUE!</v>
      </c>
      <c r="AA49" s="169" t="e" cm="1">
        <f t="array" ref="AA49">AnnualReturn(T14:T49)</f>
        <v>#VALUE!</v>
      </c>
      <c r="AB49" s="169" t="e" cm="1">
        <f t="array" ref="AB49">AnnualReturn(U14:U49)</f>
        <v>#VALUE!</v>
      </c>
      <c r="AC49" s="169" t="e" cm="1">
        <f t="array" ref="AC49">AnnualReturn(V14:V49)</f>
        <v>#VALUE!</v>
      </c>
      <c r="AD49" s="148"/>
      <c r="AE49" s="160">
        <f t="shared" si="35"/>
        <v>45535</v>
      </c>
      <c r="AF49" s="170" t="e">
        <f t="shared" si="28"/>
        <v>#REF!</v>
      </c>
      <c r="AG49" s="170" t="e">
        <f t="shared" si="29"/>
        <v>#REF!</v>
      </c>
      <c r="AH49" s="170" t="e">
        <f t="shared" si="30"/>
        <v>#REF!</v>
      </c>
      <c r="AI49" s="170" t="e">
        <f t="shared" si="31"/>
        <v>#REF!</v>
      </c>
      <c r="AJ49" s="170" t="e">
        <f t="shared" si="32"/>
        <v>#REF!</v>
      </c>
      <c r="AL49" s="151">
        <f>DB!A49</f>
        <v>45535</v>
      </c>
      <c r="AM49" s="149" t="e">
        <f>INDEX(DB!$B$2:$AB$62,MATCH(Perf!$AL49,DB!$A$2:$A$62,0),MATCH(Perf!AM$1,DB!$B$1:$AB$1,0))</f>
        <v>#REF!</v>
      </c>
      <c r="AN49" s="149" t="e">
        <f>INDEX(DB!$B$2:$AB$62,MATCH(Perf!$AL49,DB!$A$2:$A$62,0),MATCH(Perf!AN$1,DB!$B$1:$AB$1,0))</f>
        <v>#REF!</v>
      </c>
      <c r="AO49" s="149" t="e">
        <f>INDEX(DB!$B$2:$AB$62,MATCH(Perf!$AL49,DB!$A$2:$A$62,0),MATCH(Perf!AO$1,DB!$B$1:$AB$1,0))</f>
        <v>#REF!</v>
      </c>
      <c r="AP49" s="149" t="e">
        <f>INDEX(DB!$B$2:$AB$62,MATCH(Perf!$AL49,DB!$A$2:$A$62,0),MATCH(Perf!AP$1,DB!$B$1:$AB$1,0))</f>
        <v>#REF!</v>
      </c>
      <c r="AQ49" s="149" t="e">
        <f>INDEX(DB!$B$2:$AB$62,MATCH(Perf!$AL49,DB!$A$2:$A$62,0),MATCH(Perf!AQ$1,DB!$B$1:$AB$1,0))</f>
        <v>#REF!</v>
      </c>
      <c r="AR49" s="149" t="e">
        <f>INDEX(DB!$B$2:$AB$62,MATCH(Perf!$AL49,DB!$A$2:$A$62,0),MATCH(Perf!AR$1,DB!$B$1:$AB$1,0))</f>
        <v>#REF!</v>
      </c>
      <c r="AS49" s="149" t="e">
        <f>INDEX(DB!$B$2:$AB$62,MATCH(Perf!$AL49,DB!$A$2:$A$62,0),MATCH(Perf!AS$1,DB!$B$1:$AB$1,0))</f>
        <v>#REF!</v>
      </c>
      <c r="AT49" s="149" t="e">
        <f>INDEX(DB!$B$2:$AB$62,MATCH(Perf!$AL49,DB!$A$2:$A$62,0),MATCH(Perf!AT$1,DB!$B$1:$AB$1,0))</f>
        <v>#REF!</v>
      </c>
      <c r="AU49" s="149" t="e">
        <f>INDEX(DB!$B$2:$AB$62,MATCH(Perf!$AL49,DB!$A$2:$A$62,0),MATCH(Perf!AU$1,DB!$B$1:$AB$1,0))</f>
        <v>#REF!</v>
      </c>
      <c r="AV49" s="149" t="e">
        <f>INDEX(DB!$B$2:$AB$62,MATCH(Perf!$AL49,DB!$A$2:$A$62,0),MATCH(Perf!AV$1,DB!$B$1:$AB$1,0))</f>
        <v>#REF!</v>
      </c>
      <c r="AW49" s="149" t="e">
        <f>INDEX(DB!$B$2:$AB$62,MATCH(Perf!$AL49,DB!$A$2:$A$62,0),MATCH(Perf!AW$1,DB!$B$1:$AB$1,0))</f>
        <v>#REF!</v>
      </c>
      <c r="AX49" s="149" t="e">
        <f>INDEX(DB!$B$2:$AB$62,MATCH(Perf!$AL49,DB!$A$2:$A$62,0),MATCH(Perf!AX$1,DB!$B$1:$AB$1,0))</f>
        <v>#REF!</v>
      </c>
      <c r="AY49" s="149" t="e">
        <f>INDEX(DB!$B$2:$AB$62,MATCH(Perf!$AL49,DB!$A$2:$A$62,0),MATCH(Perf!AY$1,DB!$B$1:$AB$1,0))</f>
        <v>#REF!</v>
      </c>
      <c r="AZ49" s="149" t="e">
        <f>INDEX(DB!$B$2:$AB$62,MATCH(Perf!$AL49,DB!$A$2:$A$62,0),MATCH(Perf!AZ$1,DB!$B$1:$AB$1,0))</f>
        <v>#REF!</v>
      </c>
      <c r="BA49" s="149" t="e">
        <f>INDEX(DB!$B$2:$AB$62,MATCH(Perf!$AL49,DB!$A$2:$A$62,0),MATCH(Perf!BA$1,DB!$B$1:$AB$1,0))</f>
        <v>#REF!</v>
      </c>
      <c r="BB49" s="149" t="e">
        <f>INDEX(DB!$B$2:$AB$62,MATCH(Perf!$AL49,DB!$A$2:$A$62,0),MATCH(Perf!BB$1,DB!$B$1:$AB$1,0))</f>
        <v>#REF!</v>
      </c>
      <c r="BC49" s="149" t="e">
        <f>INDEX(DB!$B$2:$AB$62,MATCH(Perf!$AL49,DB!$A$2:$A$62,0),MATCH(Perf!BC$1,DB!$B$1:$AB$1,0))</f>
        <v>#REF!</v>
      </c>
      <c r="BD49" s="149" t="e">
        <f>INDEX(DB!$B$2:$AB$62,MATCH(Perf!$AL49,DB!$A$2:$A$62,0),MATCH(Perf!BD$1,DB!$B$1:$AB$1,0))</f>
        <v>#REF!</v>
      </c>
      <c r="BE49" s="149" t="e">
        <f>INDEX(DB!$B$2:$AB$62,MATCH(Perf!$AL49,DB!$A$2:$A$62,0),MATCH(Perf!BE$1,DB!$B$1:$AB$1,0))</f>
        <v>#REF!</v>
      </c>
      <c r="BF49" s="149" t="e">
        <f>INDEX(DB!$B$2:$AB$62,MATCH(Perf!$AL49,DB!$A$2:$A$62,0),MATCH(Perf!BF$1,DB!$B$1:$AB$1,0))</f>
        <v>#REF!</v>
      </c>
      <c r="BG49" s="149" t="e">
        <f>INDEX(DB!$B$2:$AB$62,MATCH(Perf!$AL49,DB!$A$2:$A$62,0),MATCH(Perf!BG$1,DB!$B$1:$AB$1,0))</f>
        <v>#REF!</v>
      </c>
      <c r="BH49" s="149" t="e">
        <f>INDEX(DB!$B$2:$AB$62,MATCH(Perf!$AL49,DB!$A$2:$A$62,0),MATCH(Perf!BH$1,DB!$B$1:$AB$1,0))</f>
        <v>#REF!</v>
      </c>
      <c r="BI49" s="149" t="e">
        <f>INDEX(DB!$B$2:$AB$62,MATCH(Perf!$AL49,DB!$A$2:$A$62,0),MATCH(Perf!BI$1,DB!$B$1:$AB$1,0))</f>
        <v>#REF!</v>
      </c>
      <c r="BJ49" s="149" t="e">
        <f t="shared" si="18"/>
        <v>#REF!</v>
      </c>
      <c r="BK49" s="149" t="e">
        <f>INDEX(DB!$B$2:$AB$62,MATCH(Perf!$AL49,DB!$A$2:$A$62,0),MATCH(Perf!BK$1,DB!$B$1:$AB$1,0))</f>
        <v>#REF!</v>
      </c>
      <c r="BL49" s="149" t="e">
        <f>INDEX(DB!$B$2:$AB$62,MATCH(Perf!$AL49,DB!$A$2:$A$62,0),MATCH(Perf!BL$1,DB!$B$1:$AB$1,0))</f>
        <v>#REF!</v>
      </c>
      <c r="BM49" s="149" t="e">
        <f>INDEX(DB!$B$2:$AB$62,MATCH(Perf!$AL49,DB!$A$2:$A$62,0),MATCH(Perf!BM$1,DB!$B$1:$AB$1,0))</f>
        <v>#REF!</v>
      </c>
    </row>
    <row r="50" spans="1:65" x14ac:dyDescent="0.15">
      <c r="A50" s="151">
        <f t="shared" si="8"/>
        <v>45565</v>
      </c>
      <c r="B50" s="148" t="e" cm="1">
        <f t="array" ref="B50">SUMPRODUCT(TRANSPOSE(#REF!),Perf!$AM50:$BN50)/100</f>
        <v>#REF!</v>
      </c>
      <c r="C50" s="148" t="e" cm="1">
        <f t="array" ref="C50">SUMPRODUCT(TRANSPOSE(#REF!),Perf!$AM50:$BN50)/100</f>
        <v>#REF!</v>
      </c>
      <c r="D50" s="148" t="e" cm="1">
        <f t="array" ref="D50">SUMPRODUCT(TRANSPOSE(#REF!),Perf!$AM50:$BN50)/100</f>
        <v>#REF!</v>
      </c>
      <c r="E50" s="148" t="e" cm="1">
        <f t="array" ref="E50">SUMPRODUCT(TRANSPOSE(#REF!),Perf!$AM50:$BN50)/100</f>
        <v>#REF!</v>
      </c>
      <c r="F50" s="148" t="e" cm="1">
        <f t="array" ref="F50">SUMPRODUCT(TRANSPOSE(#REF!),Perf!$AM50:$BN50)/100</f>
        <v>#REF!</v>
      </c>
      <c r="G50" s="148" t="e">
        <f t="shared" si="9"/>
        <v>#REF!</v>
      </c>
      <c r="H50" s="148"/>
      <c r="I50" s="160">
        <f t="shared" si="33"/>
        <v>45535</v>
      </c>
      <c r="J50" s="148" t="e">
        <f t="shared" si="19"/>
        <v>#REF!</v>
      </c>
      <c r="K50" s="148" t="e">
        <f t="shared" si="20"/>
        <v>#REF!</v>
      </c>
      <c r="L50" s="148" t="e">
        <f t="shared" si="21"/>
        <v>#REF!</v>
      </c>
      <c r="M50" s="148" t="e">
        <f t="shared" si="22"/>
        <v>#REF!</v>
      </c>
      <c r="N50" s="148" t="e">
        <f t="shared" si="23"/>
        <v>#REF!</v>
      </c>
      <c r="O50" s="148" t="e">
        <f t="shared" si="24"/>
        <v>#REF!</v>
      </c>
      <c r="P50" s="148"/>
      <c r="Q50" s="160">
        <f t="shared" si="12"/>
        <v>45565</v>
      </c>
      <c r="R50" s="148" t="e">
        <f t="shared" si="13"/>
        <v>#REF!</v>
      </c>
      <c r="S50" s="148" t="e">
        <f t="shared" si="14"/>
        <v>#REF!</v>
      </c>
      <c r="T50" s="148" t="e">
        <f t="shared" si="15"/>
        <v>#REF!</v>
      </c>
      <c r="U50" s="148" t="e">
        <f t="shared" si="16"/>
        <v>#REF!</v>
      </c>
      <c r="V50" s="148" t="e">
        <f t="shared" si="17"/>
        <v>#REF!</v>
      </c>
      <c r="W50" s="148"/>
      <c r="X50" s="160">
        <f t="shared" si="34"/>
        <v>45565</v>
      </c>
      <c r="Y50" s="169" t="e" cm="1">
        <f t="array" ref="Y50">AnnualReturn(R15:R50)</f>
        <v>#VALUE!</v>
      </c>
      <c r="Z50" s="169" t="e" cm="1">
        <f t="array" ref="Z50">AnnualReturn(S15:S50)</f>
        <v>#VALUE!</v>
      </c>
      <c r="AA50" s="169" t="e" cm="1">
        <f t="array" ref="AA50">AnnualReturn(T15:T50)</f>
        <v>#VALUE!</v>
      </c>
      <c r="AB50" s="169" t="e" cm="1">
        <f t="array" ref="AB50">AnnualReturn(U15:U50)</f>
        <v>#VALUE!</v>
      </c>
      <c r="AC50" s="169" t="e" cm="1">
        <f t="array" ref="AC50">AnnualReturn(V15:V50)</f>
        <v>#VALUE!</v>
      </c>
      <c r="AD50" s="148"/>
      <c r="AE50" s="160">
        <f t="shared" si="35"/>
        <v>45565</v>
      </c>
      <c r="AF50" s="170" t="e">
        <f t="shared" si="28"/>
        <v>#REF!</v>
      </c>
      <c r="AG50" s="170" t="e">
        <f t="shared" si="29"/>
        <v>#REF!</v>
      </c>
      <c r="AH50" s="170" t="e">
        <f t="shared" si="30"/>
        <v>#REF!</v>
      </c>
      <c r="AI50" s="170" t="e">
        <f t="shared" si="31"/>
        <v>#REF!</v>
      </c>
      <c r="AJ50" s="170" t="e">
        <f t="shared" si="32"/>
        <v>#REF!</v>
      </c>
      <c r="AL50" s="151">
        <f>DB!A50</f>
        <v>45565</v>
      </c>
      <c r="AM50" s="149" t="e">
        <f>INDEX(DB!$B$2:$AB$62,MATCH(Perf!$AL50,DB!$A$2:$A$62,0),MATCH(Perf!AM$1,DB!$B$1:$AB$1,0))</f>
        <v>#REF!</v>
      </c>
      <c r="AN50" s="149" t="e">
        <f>INDEX(DB!$B$2:$AB$62,MATCH(Perf!$AL50,DB!$A$2:$A$62,0),MATCH(Perf!AN$1,DB!$B$1:$AB$1,0))</f>
        <v>#REF!</v>
      </c>
      <c r="AO50" s="149" t="e">
        <f>INDEX(DB!$B$2:$AB$62,MATCH(Perf!$AL50,DB!$A$2:$A$62,0),MATCH(Perf!AO$1,DB!$B$1:$AB$1,0))</f>
        <v>#REF!</v>
      </c>
      <c r="AP50" s="149" t="e">
        <f>INDEX(DB!$B$2:$AB$62,MATCH(Perf!$AL50,DB!$A$2:$A$62,0),MATCH(Perf!AP$1,DB!$B$1:$AB$1,0))</f>
        <v>#REF!</v>
      </c>
      <c r="AQ50" s="149" t="e">
        <f>INDEX(DB!$B$2:$AB$62,MATCH(Perf!$AL50,DB!$A$2:$A$62,0),MATCH(Perf!AQ$1,DB!$B$1:$AB$1,0))</f>
        <v>#REF!</v>
      </c>
      <c r="AR50" s="149" t="e">
        <f>INDEX(DB!$B$2:$AB$62,MATCH(Perf!$AL50,DB!$A$2:$A$62,0),MATCH(Perf!AR$1,DB!$B$1:$AB$1,0))</f>
        <v>#REF!</v>
      </c>
      <c r="AS50" s="149" t="e">
        <f>INDEX(DB!$B$2:$AB$62,MATCH(Perf!$AL50,DB!$A$2:$A$62,0),MATCH(Perf!AS$1,DB!$B$1:$AB$1,0))</f>
        <v>#REF!</v>
      </c>
      <c r="AT50" s="149" t="e">
        <f>INDEX(DB!$B$2:$AB$62,MATCH(Perf!$AL50,DB!$A$2:$A$62,0),MATCH(Perf!AT$1,DB!$B$1:$AB$1,0))</f>
        <v>#REF!</v>
      </c>
      <c r="AU50" s="149" t="e">
        <f>INDEX(DB!$B$2:$AB$62,MATCH(Perf!$AL50,DB!$A$2:$A$62,0),MATCH(Perf!AU$1,DB!$B$1:$AB$1,0))</f>
        <v>#REF!</v>
      </c>
      <c r="AV50" s="149" t="e">
        <f>INDEX(DB!$B$2:$AB$62,MATCH(Perf!$AL50,DB!$A$2:$A$62,0),MATCH(Perf!AV$1,DB!$B$1:$AB$1,0))</f>
        <v>#REF!</v>
      </c>
      <c r="AW50" s="149" t="e">
        <f>INDEX(DB!$B$2:$AB$62,MATCH(Perf!$AL50,DB!$A$2:$A$62,0),MATCH(Perf!AW$1,DB!$B$1:$AB$1,0))</f>
        <v>#REF!</v>
      </c>
      <c r="AX50" s="149" t="e">
        <f>INDEX(DB!$B$2:$AB$62,MATCH(Perf!$AL50,DB!$A$2:$A$62,0),MATCH(Perf!AX$1,DB!$B$1:$AB$1,0))</f>
        <v>#REF!</v>
      </c>
      <c r="AY50" s="149" t="e">
        <f>INDEX(DB!$B$2:$AB$62,MATCH(Perf!$AL50,DB!$A$2:$A$62,0),MATCH(Perf!AY$1,DB!$B$1:$AB$1,0))</f>
        <v>#REF!</v>
      </c>
      <c r="AZ50" s="149" t="e">
        <f>INDEX(DB!$B$2:$AB$62,MATCH(Perf!$AL50,DB!$A$2:$A$62,0),MATCH(Perf!AZ$1,DB!$B$1:$AB$1,0))</f>
        <v>#REF!</v>
      </c>
      <c r="BA50" s="149" t="e">
        <f>INDEX(DB!$B$2:$AB$62,MATCH(Perf!$AL50,DB!$A$2:$A$62,0),MATCH(Perf!BA$1,DB!$B$1:$AB$1,0))</f>
        <v>#REF!</v>
      </c>
      <c r="BB50" s="149" t="e">
        <f>INDEX(DB!$B$2:$AB$62,MATCH(Perf!$AL50,DB!$A$2:$A$62,0),MATCH(Perf!BB$1,DB!$B$1:$AB$1,0))</f>
        <v>#REF!</v>
      </c>
      <c r="BC50" s="149" t="e">
        <f>INDEX(DB!$B$2:$AB$62,MATCH(Perf!$AL50,DB!$A$2:$A$62,0),MATCH(Perf!BC$1,DB!$B$1:$AB$1,0))</f>
        <v>#REF!</v>
      </c>
      <c r="BD50" s="149" t="e">
        <f>INDEX(DB!$B$2:$AB$62,MATCH(Perf!$AL50,DB!$A$2:$A$62,0),MATCH(Perf!BD$1,DB!$B$1:$AB$1,0))</f>
        <v>#REF!</v>
      </c>
      <c r="BE50" s="149" t="e">
        <f>INDEX(DB!$B$2:$AB$62,MATCH(Perf!$AL50,DB!$A$2:$A$62,0),MATCH(Perf!BE$1,DB!$B$1:$AB$1,0))</f>
        <v>#REF!</v>
      </c>
      <c r="BF50" s="149" t="e">
        <f>INDEX(DB!$B$2:$AB$62,MATCH(Perf!$AL50,DB!$A$2:$A$62,0),MATCH(Perf!BF$1,DB!$B$1:$AB$1,0))</f>
        <v>#REF!</v>
      </c>
      <c r="BG50" s="149" t="e">
        <f>INDEX(DB!$B$2:$AB$62,MATCH(Perf!$AL50,DB!$A$2:$A$62,0),MATCH(Perf!BG$1,DB!$B$1:$AB$1,0))</f>
        <v>#REF!</v>
      </c>
      <c r="BH50" s="149" t="e">
        <f>INDEX(DB!$B$2:$AB$62,MATCH(Perf!$AL50,DB!$A$2:$A$62,0),MATCH(Perf!BH$1,DB!$B$1:$AB$1,0))</f>
        <v>#REF!</v>
      </c>
      <c r="BI50" s="149" t="e">
        <f>INDEX(DB!$B$2:$AB$62,MATCH(Perf!$AL50,DB!$A$2:$A$62,0),MATCH(Perf!BI$1,DB!$B$1:$AB$1,0))</f>
        <v>#REF!</v>
      </c>
      <c r="BJ50" s="149" t="e">
        <f t="shared" si="18"/>
        <v>#REF!</v>
      </c>
      <c r="BK50" s="149" t="e">
        <f>INDEX(DB!$B$2:$AB$62,MATCH(Perf!$AL50,DB!$A$2:$A$62,0),MATCH(Perf!BK$1,DB!$B$1:$AB$1,0))</f>
        <v>#REF!</v>
      </c>
      <c r="BL50" s="149" t="e">
        <f>INDEX(DB!$B$2:$AB$62,MATCH(Perf!$AL50,DB!$A$2:$A$62,0),MATCH(Perf!BL$1,DB!$B$1:$AB$1,0))</f>
        <v>#REF!</v>
      </c>
      <c r="BM50" s="149" t="e">
        <f>INDEX(DB!$B$2:$AB$62,MATCH(Perf!$AL50,DB!$A$2:$A$62,0),MATCH(Perf!BM$1,DB!$B$1:$AB$1,0))</f>
        <v>#REF!</v>
      </c>
    </row>
    <row r="51" spans="1:65" x14ac:dyDescent="0.15">
      <c r="A51" s="151">
        <f t="shared" si="8"/>
        <v>45596</v>
      </c>
      <c r="B51" s="148" t="e" cm="1">
        <f t="array" ref="B51">SUMPRODUCT(TRANSPOSE(#REF!),Perf!$AM51:$BN51)/100</f>
        <v>#REF!</v>
      </c>
      <c r="C51" s="148" t="e" cm="1">
        <f t="array" ref="C51">SUMPRODUCT(TRANSPOSE(#REF!),Perf!$AM51:$BN51)/100</f>
        <v>#REF!</v>
      </c>
      <c r="D51" s="148" t="e" cm="1">
        <f t="array" ref="D51">SUMPRODUCT(TRANSPOSE(#REF!),Perf!$AM51:$BN51)/100</f>
        <v>#REF!</v>
      </c>
      <c r="E51" s="148" t="e" cm="1">
        <f t="array" ref="E51">SUMPRODUCT(TRANSPOSE(#REF!),Perf!$AM51:$BN51)/100</f>
        <v>#REF!</v>
      </c>
      <c r="F51" s="148" t="e" cm="1">
        <f t="array" ref="F51">SUMPRODUCT(TRANSPOSE(#REF!),Perf!$AM51:$BN51)/100</f>
        <v>#REF!</v>
      </c>
      <c r="G51" s="148" t="e">
        <f t="shared" si="9"/>
        <v>#REF!</v>
      </c>
      <c r="H51" s="148"/>
      <c r="I51" s="160">
        <f t="shared" si="33"/>
        <v>45565</v>
      </c>
      <c r="J51" s="148" t="e">
        <f t="shared" si="19"/>
        <v>#REF!</v>
      </c>
      <c r="K51" s="148" t="e">
        <f t="shared" si="20"/>
        <v>#REF!</v>
      </c>
      <c r="L51" s="148" t="e">
        <f t="shared" si="21"/>
        <v>#REF!</v>
      </c>
      <c r="M51" s="148" t="e">
        <f t="shared" si="22"/>
        <v>#REF!</v>
      </c>
      <c r="N51" s="148" t="e">
        <f t="shared" si="23"/>
        <v>#REF!</v>
      </c>
      <c r="O51" s="148" t="e">
        <f t="shared" si="24"/>
        <v>#REF!</v>
      </c>
      <c r="P51" s="148"/>
      <c r="Q51" s="160">
        <f t="shared" si="12"/>
        <v>45596</v>
      </c>
      <c r="R51" s="148" t="e">
        <f t="shared" si="13"/>
        <v>#REF!</v>
      </c>
      <c r="S51" s="148" t="e">
        <f t="shared" si="14"/>
        <v>#REF!</v>
      </c>
      <c r="T51" s="148" t="e">
        <f t="shared" si="15"/>
        <v>#REF!</v>
      </c>
      <c r="U51" s="148" t="e">
        <f t="shared" si="16"/>
        <v>#REF!</v>
      </c>
      <c r="V51" s="148" t="e">
        <f t="shared" si="17"/>
        <v>#REF!</v>
      </c>
      <c r="W51" s="148"/>
      <c r="X51" s="160">
        <f t="shared" si="34"/>
        <v>45596</v>
      </c>
      <c r="Y51" s="169" t="e" cm="1">
        <f t="array" ref="Y51">AnnualReturn(R16:R51)</f>
        <v>#VALUE!</v>
      </c>
      <c r="Z51" s="169" t="e" cm="1">
        <f t="array" ref="Z51">AnnualReturn(S16:S51)</f>
        <v>#VALUE!</v>
      </c>
      <c r="AA51" s="169" t="e" cm="1">
        <f t="array" ref="AA51">AnnualReturn(T16:T51)</f>
        <v>#VALUE!</v>
      </c>
      <c r="AB51" s="169" t="e" cm="1">
        <f t="array" ref="AB51">AnnualReturn(U16:U51)</f>
        <v>#VALUE!</v>
      </c>
      <c r="AC51" s="169" t="e" cm="1">
        <f t="array" ref="AC51">AnnualReturn(V16:V51)</f>
        <v>#VALUE!</v>
      </c>
      <c r="AD51" s="148"/>
      <c r="AE51" s="160">
        <f t="shared" si="35"/>
        <v>45596</v>
      </c>
      <c r="AF51" s="170" t="e">
        <f t="shared" si="28"/>
        <v>#REF!</v>
      </c>
      <c r="AG51" s="170" t="e">
        <f t="shared" si="29"/>
        <v>#REF!</v>
      </c>
      <c r="AH51" s="170" t="e">
        <f t="shared" si="30"/>
        <v>#REF!</v>
      </c>
      <c r="AI51" s="170" t="e">
        <f t="shared" si="31"/>
        <v>#REF!</v>
      </c>
      <c r="AJ51" s="170" t="e">
        <f t="shared" si="32"/>
        <v>#REF!</v>
      </c>
      <c r="AL51" s="151">
        <f>DB!A51</f>
        <v>45596</v>
      </c>
      <c r="AM51" s="149" t="e">
        <f>INDEX(DB!$B$2:$AB$62,MATCH(Perf!$AL51,DB!$A$2:$A$62,0),MATCH(Perf!AM$1,DB!$B$1:$AB$1,0))</f>
        <v>#REF!</v>
      </c>
      <c r="AN51" s="149" t="e">
        <f>INDEX(DB!$B$2:$AB$62,MATCH(Perf!$AL51,DB!$A$2:$A$62,0),MATCH(Perf!AN$1,DB!$B$1:$AB$1,0))</f>
        <v>#REF!</v>
      </c>
      <c r="AO51" s="149" t="e">
        <f>INDEX(DB!$B$2:$AB$62,MATCH(Perf!$AL51,DB!$A$2:$A$62,0),MATCH(Perf!AO$1,DB!$B$1:$AB$1,0))</f>
        <v>#REF!</v>
      </c>
      <c r="AP51" s="149" t="e">
        <f>INDEX(DB!$B$2:$AB$62,MATCH(Perf!$AL51,DB!$A$2:$A$62,0),MATCH(Perf!AP$1,DB!$B$1:$AB$1,0))</f>
        <v>#REF!</v>
      </c>
      <c r="AQ51" s="149" t="e">
        <f>INDEX(DB!$B$2:$AB$62,MATCH(Perf!$AL51,DB!$A$2:$A$62,0),MATCH(Perf!AQ$1,DB!$B$1:$AB$1,0))</f>
        <v>#REF!</v>
      </c>
      <c r="AR51" s="149" t="e">
        <f>INDEX(DB!$B$2:$AB$62,MATCH(Perf!$AL51,DB!$A$2:$A$62,0),MATCH(Perf!AR$1,DB!$B$1:$AB$1,0))</f>
        <v>#REF!</v>
      </c>
      <c r="AS51" s="149" t="e">
        <f>INDEX(DB!$B$2:$AB$62,MATCH(Perf!$AL51,DB!$A$2:$A$62,0),MATCH(Perf!AS$1,DB!$B$1:$AB$1,0))</f>
        <v>#REF!</v>
      </c>
      <c r="AT51" s="149" t="e">
        <f>INDEX(DB!$B$2:$AB$62,MATCH(Perf!$AL51,DB!$A$2:$A$62,0),MATCH(Perf!AT$1,DB!$B$1:$AB$1,0))</f>
        <v>#REF!</v>
      </c>
      <c r="AU51" s="149" t="e">
        <f>INDEX(DB!$B$2:$AB$62,MATCH(Perf!$AL51,DB!$A$2:$A$62,0),MATCH(Perf!AU$1,DB!$B$1:$AB$1,0))</f>
        <v>#REF!</v>
      </c>
      <c r="AV51" s="149" t="e">
        <f>INDEX(DB!$B$2:$AB$62,MATCH(Perf!$AL51,DB!$A$2:$A$62,0),MATCH(Perf!AV$1,DB!$B$1:$AB$1,0))</f>
        <v>#REF!</v>
      </c>
      <c r="AW51" s="149" t="e">
        <f>INDEX(DB!$B$2:$AB$62,MATCH(Perf!$AL51,DB!$A$2:$A$62,0),MATCH(Perf!AW$1,DB!$B$1:$AB$1,0))</f>
        <v>#REF!</v>
      </c>
      <c r="AX51" s="149" t="e">
        <f>INDEX(DB!$B$2:$AB$62,MATCH(Perf!$AL51,DB!$A$2:$A$62,0),MATCH(Perf!AX$1,DB!$B$1:$AB$1,0))</f>
        <v>#REF!</v>
      </c>
      <c r="AY51" s="149" t="e">
        <f>INDEX(DB!$B$2:$AB$62,MATCH(Perf!$AL51,DB!$A$2:$A$62,0),MATCH(Perf!AY$1,DB!$B$1:$AB$1,0))</f>
        <v>#REF!</v>
      </c>
      <c r="AZ51" s="149" t="e">
        <f>INDEX(DB!$B$2:$AB$62,MATCH(Perf!$AL51,DB!$A$2:$A$62,0),MATCH(Perf!AZ$1,DB!$B$1:$AB$1,0))</f>
        <v>#REF!</v>
      </c>
      <c r="BA51" s="149" t="e">
        <f>INDEX(DB!$B$2:$AB$62,MATCH(Perf!$AL51,DB!$A$2:$A$62,0),MATCH(Perf!BA$1,DB!$B$1:$AB$1,0))</f>
        <v>#REF!</v>
      </c>
      <c r="BB51" s="149" t="e">
        <f>INDEX(DB!$B$2:$AB$62,MATCH(Perf!$AL51,DB!$A$2:$A$62,0),MATCH(Perf!BB$1,DB!$B$1:$AB$1,0))</f>
        <v>#REF!</v>
      </c>
      <c r="BC51" s="149" t="e">
        <f>INDEX(DB!$B$2:$AB$62,MATCH(Perf!$AL51,DB!$A$2:$A$62,0),MATCH(Perf!BC$1,DB!$B$1:$AB$1,0))</f>
        <v>#REF!</v>
      </c>
      <c r="BD51" s="149" t="e">
        <f>INDEX(DB!$B$2:$AB$62,MATCH(Perf!$AL51,DB!$A$2:$A$62,0),MATCH(Perf!BD$1,DB!$B$1:$AB$1,0))</f>
        <v>#REF!</v>
      </c>
      <c r="BE51" s="149" t="e">
        <f>INDEX(DB!$B$2:$AB$62,MATCH(Perf!$AL51,DB!$A$2:$A$62,0),MATCH(Perf!BE$1,DB!$B$1:$AB$1,0))</f>
        <v>#REF!</v>
      </c>
      <c r="BF51" s="149" t="e">
        <f>INDEX(DB!$B$2:$AB$62,MATCH(Perf!$AL51,DB!$A$2:$A$62,0),MATCH(Perf!BF$1,DB!$B$1:$AB$1,0))</f>
        <v>#REF!</v>
      </c>
      <c r="BG51" s="149" t="e">
        <f>INDEX(DB!$B$2:$AB$62,MATCH(Perf!$AL51,DB!$A$2:$A$62,0),MATCH(Perf!BG$1,DB!$B$1:$AB$1,0))</f>
        <v>#REF!</v>
      </c>
      <c r="BH51" s="149" t="e">
        <f>INDEX(DB!$B$2:$AB$62,MATCH(Perf!$AL51,DB!$A$2:$A$62,0),MATCH(Perf!BH$1,DB!$B$1:$AB$1,0))</f>
        <v>#REF!</v>
      </c>
      <c r="BI51" s="149" t="e">
        <f>INDEX(DB!$B$2:$AB$62,MATCH(Perf!$AL51,DB!$A$2:$A$62,0),MATCH(Perf!BI$1,DB!$B$1:$AB$1,0))</f>
        <v>#REF!</v>
      </c>
      <c r="BJ51" s="149" t="e">
        <f t="shared" si="18"/>
        <v>#REF!</v>
      </c>
      <c r="BK51" s="149" t="e">
        <f>INDEX(DB!$B$2:$AB$62,MATCH(Perf!$AL51,DB!$A$2:$A$62,0),MATCH(Perf!BK$1,DB!$B$1:$AB$1,0))</f>
        <v>#REF!</v>
      </c>
      <c r="BL51" s="149" t="e">
        <f>INDEX(DB!$B$2:$AB$62,MATCH(Perf!$AL51,DB!$A$2:$A$62,0),MATCH(Perf!BL$1,DB!$B$1:$AB$1,0))</f>
        <v>#REF!</v>
      </c>
      <c r="BM51" s="149" t="e">
        <f>INDEX(DB!$B$2:$AB$62,MATCH(Perf!$AL51,DB!$A$2:$A$62,0),MATCH(Perf!BM$1,DB!$B$1:$AB$1,0))</f>
        <v>#REF!</v>
      </c>
    </row>
    <row r="52" spans="1:65" x14ac:dyDescent="0.15">
      <c r="A52" s="151">
        <f t="shared" si="8"/>
        <v>45626</v>
      </c>
      <c r="B52" s="148" t="e" cm="1">
        <f t="array" ref="B52">SUMPRODUCT(TRANSPOSE(#REF!),Perf!$AM52:$BN52)/100</f>
        <v>#REF!</v>
      </c>
      <c r="C52" s="148" t="e" cm="1">
        <f t="array" ref="C52">SUMPRODUCT(TRANSPOSE(#REF!),Perf!$AM52:$BN52)/100</f>
        <v>#REF!</v>
      </c>
      <c r="D52" s="148" t="e" cm="1">
        <f t="array" ref="D52">SUMPRODUCT(TRANSPOSE(#REF!),Perf!$AM52:$BN52)/100</f>
        <v>#REF!</v>
      </c>
      <c r="E52" s="148" t="e" cm="1">
        <f t="array" ref="E52">SUMPRODUCT(TRANSPOSE(#REF!),Perf!$AM52:$BN52)/100</f>
        <v>#REF!</v>
      </c>
      <c r="F52" s="148" t="e" cm="1">
        <f t="array" ref="F52">SUMPRODUCT(TRANSPOSE(#REF!),Perf!$AM52:$BN52)/100</f>
        <v>#REF!</v>
      </c>
      <c r="G52" s="148" t="e">
        <f t="shared" si="9"/>
        <v>#REF!</v>
      </c>
      <c r="H52" s="148"/>
      <c r="I52" s="160">
        <f t="shared" si="33"/>
        <v>45596</v>
      </c>
      <c r="J52" s="148" t="e">
        <f t="shared" si="19"/>
        <v>#REF!</v>
      </c>
      <c r="K52" s="148" t="e">
        <f t="shared" si="20"/>
        <v>#REF!</v>
      </c>
      <c r="L52" s="148" t="e">
        <f t="shared" si="21"/>
        <v>#REF!</v>
      </c>
      <c r="M52" s="148" t="e">
        <f t="shared" si="22"/>
        <v>#REF!</v>
      </c>
      <c r="N52" s="148" t="e">
        <f t="shared" si="23"/>
        <v>#REF!</v>
      </c>
      <c r="O52" s="148" t="e">
        <f t="shared" si="24"/>
        <v>#REF!</v>
      </c>
      <c r="P52" s="148"/>
      <c r="Q52" s="160">
        <f t="shared" si="12"/>
        <v>45626</v>
      </c>
      <c r="R52" s="148" t="e">
        <f t="shared" si="13"/>
        <v>#REF!</v>
      </c>
      <c r="S52" s="148" t="e">
        <f t="shared" si="14"/>
        <v>#REF!</v>
      </c>
      <c r="T52" s="148" t="e">
        <f t="shared" si="15"/>
        <v>#REF!</v>
      </c>
      <c r="U52" s="148" t="e">
        <f t="shared" si="16"/>
        <v>#REF!</v>
      </c>
      <c r="V52" s="148" t="e">
        <f t="shared" si="17"/>
        <v>#REF!</v>
      </c>
      <c r="W52" s="148"/>
      <c r="X52" s="160">
        <f t="shared" si="34"/>
        <v>45626</v>
      </c>
      <c r="Y52" s="169" t="e" cm="1">
        <f t="array" ref="Y52">AnnualReturn(R17:R52)</f>
        <v>#VALUE!</v>
      </c>
      <c r="Z52" s="169" t="e" cm="1">
        <f t="array" ref="Z52">AnnualReturn(S17:S52)</f>
        <v>#VALUE!</v>
      </c>
      <c r="AA52" s="169" t="e" cm="1">
        <f t="array" ref="AA52">AnnualReturn(T17:T52)</f>
        <v>#VALUE!</v>
      </c>
      <c r="AB52" s="169" t="e" cm="1">
        <f t="array" ref="AB52">AnnualReturn(U17:U52)</f>
        <v>#VALUE!</v>
      </c>
      <c r="AC52" s="169" t="e" cm="1">
        <f t="array" ref="AC52">AnnualReturn(V17:V52)</f>
        <v>#VALUE!</v>
      </c>
      <c r="AD52" s="148"/>
      <c r="AE52" s="160">
        <f t="shared" si="35"/>
        <v>45626</v>
      </c>
      <c r="AF52" s="170" t="e">
        <f t="shared" si="28"/>
        <v>#REF!</v>
      </c>
      <c r="AG52" s="170" t="e">
        <f t="shared" si="29"/>
        <v>#REF!</v>
      </c>
      <c r="AH52" s="170" t="e">
        <f t="shared" si="30"/>
        <v>#REF!</v>
      </c>
      <c r="AI52" s="170" t="e">
        <f t="shared" si="31"/>
        <v>#REF!</v>
      </c>
      <c r="AJ52" s="170" t="e">
        <f t="shared" si="32"/>
        <v>#REF!</v>
      </c>
      <c r="AL52" s="151">
        <f>DB!A52</f>
        <v>45626</v>
      </c>
      <c r="AM52" s="149" t="e">
        <f>INDEX(DB!$B$2:$AB$62,MATCH(Perf!$AL52,DB!$A$2:$A$62,0),MATCH(Perf!AM$1,DB!$B$1:$AB$1,0))</f>
        <v>#REF!</v>
      </c>
      <c r="AN52" s="149" t="e">
        <f>INDEX(DB!$B$2:$AB$62,MATCH(Perf!$AL52,DB!$A$2:$A$62,0),MATCH(Perf!AN$1,DB!$B$1:$AB$1,0))</f>
        <v>#REF!</v>
      </c>
      <c r="AO52" s="149" t="e">
        <f>INDEX(DB!$B$2:$AB$62,MATCH(Perf!$AL52,DB!$A$2:$A$62,0),MATCH(Perf!AO$1,DB!$B$1:$AB$1,0))</f>
        <v>#REF!</v>
      </c>
      <c r="AP52" s="149" t="e">
        <f>INDEX(DB!$B$2:$AB$62,MATCH(Perf!$AL52,DB!$A$2:$A$62,0),MATCH(Perf!AP$1,DB!$B$1:$AB$1,0))</f>
        <v>#REF!</v>
      </c>
      <c r="AQ52" s="149" t="e">
        <f>INDEX(DB!$B$2:$AB$62,MATCH(Perf!$AL52,DB!$A$2:$A$62,0),MATCH(Perf!AQ$1,DB!$B$1:$AB$1,0))</f>
        <v>#REF!</v>
      </c>
      <c r="AR52" s="149" t="e">
        <f>INDEX(DB!$B$2:$AB$62,MATCH(Perf!$AL52,DB!$A$2:$A$62,0),MATCH(Perf!AR$1,DB!$B$1:$AB$1,0))</f>
        <v>#REF!</v>
      </c>
      <c r="AS52" s="149" t="e">
        <f>INDEX(DB!$B$2:$AB$62,MATCH(Perf!$AL52,DB!$A$2:$A$62,0),MATCH(Perf!AS$1,DB!$B$1:$AB$1,0))</f>
        <v>#REF!</v>
      </c>
      <c r="AT52" s="149" t="e">
        <f>INDEX(DB!$B$2:$AB$62,MATCH(Perf!$AL52,DB!$A$2:$A$62,0),MATCH(Perf!AT$1,DB!$B$1:$AB$1,0))</f>
        <v>#REF!</v>
      </c>
      <c r="AU52" s="149" t="e">
        <f>INDEX(DB!$B$2:$AB$62,MATCH(Perf!$AL52,DB!$A$2:$A$62,0),MATCH(Perf!AU$1,DB!$B$1:$AB$1,0))</f>
        <v>#REF!</v>
      </c>
      <c r="AV52" s="149" t="e">
        <f>INDEX(DB!$B$2:$AB$62,MATCH(Perf!$AL52,DB!$A$2:$A$62,0),MATCH(Perf!AV$1,DB!$B$1:$AB$1,0))</f>
        <v>#REF!</v>
      </c>
      <c r="AW52" s="149" t="e">
        <f>INDEX(DB!$B$2:$AB$62,MATCH(Perf!$AL52,DB!$A$2:$A$62,0),MATCH(Perf!AW$1,DB!$B$1:$AB$1,0))</f>
        <v>#REF!</v>
      </c>
      <c r="AX52" s="149" t="e">
        <f>INDEX(DB!$B$2:$AB$62,MATCH(Perf!$AL52,DB!$A$2:$A$62,0),MATCH(Perf!AX$1,DB!$B$1:$AB$1,0))</f>
        <v>#REF!</v>
      </c>
      <c r="AY52" s="149" t="e">
        <f>INDEX(DB!$B$2:$AB$62,MATCH(Perf!$AL52,DB!$A$2:$A$62,0),MATCH(Perf!AY$1,DB!$B$1:$AB$1,0))</f>
        <v>#REF!</v>
      </c>
      <c r="AZ52" s="149" t="e">
        <f>INDEX(DB!$B$2:$AB$62,MATCH(Perf!$AL52,DB!$A$2:$A$62,0),MATCH(Perf!AZ$1,DB!$B$1:$AB$1,0))</f>
        <v>#REF!</v>
      </c>
      <c r="BA52" s="149" t="e">
        <f>INDEX(DB!$B$2:$AB$62,MATCH(Perf!$AL52,DB!$A$2:$A$62,0),MATCH(Perf!BA$1,DB!$B$1:$AB$1,0))</f>
        <v>#REF!</v>
      </c>
      <c r="BB52" s="149" t="e">
        <f>INDEX(DB!$B$2:$AB$62,MATCH(Perf!$AL52,DB!$A$2:$A$62,0),MATCH(Perf!BB$1,DB!$B$1:$AB$1,0))</f>
        <v>#REF!</v>
      </c>
      <c r="BC52" s="149" t="e">
        <f>INDEX(DB!$B$2:$AB$62,MATCH(Perf!$AL52,DB!$A$2:$A$62,0),MATCH(Perf!BC$1,DB!$B$1:$AB$1,0))</f>
        <v>#REF!</v>
      </c>
      <c r="BD52" s="149" t="e">
        <f>INDEX(DB!$B$2:$AB$62,MATCH(Perf!$AL52,DB!$A$2:$A$62,0),MATCH(Perf!BD$1,DB!$B$1:$AB$1,0))</f>
        <v>#REF!</v>
      </c>
      <c r="BE52" s="149" t="e">
        <f>INDEX(DB!$B$2:$AB$62,MATCH(Perf!$AL52,DB!$A$2:$A$62,0),MATCH(Perf!BE$1,DB!$B$1:$AB$1,0))</f>
        <v>#REF!</v>
      </c>
      <c r="BF52" s="149" t="e">
        <f>INDEX(DB!$B$2:$AB$62,MATCH(Perf!$AL52,DB!$A$2:$A$62,0),MATCH(Perf!BF$1,DB!$B$1:$AB$1,0))</f>
        <v>#REF!</v>
      </c>
      <c r="BG52" s="149" t="e">
        <f>INDEX(DB!$B$2:$AB$62,MATCH(Perf!$AL52,DB!$A$2:$A$62,0),MATCH(Perf!BG$1,DB!$B$1:$AB$1,0))</f>
        <v>#REF!</v>
      </c>
      <c r="BH52" s="149" t="e">
        <f>INDEX(DB!$B$2:$AB$62,MATCH(Perf!$AL52,DB!$A$2:$A$62,0),MATCH(Perf!BH$1,DB!$B$1:$AB$1,0))</f>
        <v>#REF!</v>
      </c>
      <c r="BI52" s="149" t="e">
        <f>INDEX(DB!$B$2:$AB$62,MATCH(Perf!$AL52,DB!$A$2:$A$62,0),MATCH(Perf!BI$1,DB!$B$1:$AB$1,0))</f>
        <v>#REF!</v>
      </c>
      <c r="BJ52" s="149" t="e">
        <f t="shared" si="18"/>
        <v>#REF!</v>
      </c>
      <c r="BK52" s="149" t="e">
        <f>INDEX(DB!$B$2:$AB$62,MATCH(Perf!$AL52,DB!$A$2:$A$62,0),MATCH(Perf!BK$1,DB!$B$1:$AB$1,0))</f>
        <v>#REF!</v>
      </c>
      <c r="BL52" s="149" t="e">
        <f>INDEX(DB!$B$2:$AB$62,MATCH(Perf!$AL52,DB!$A$2:$A$62,0),MATCH(Perf!BL$1,DB!$B$1:$AB$1,0))</f>
        <v>#REF!</v>
      </c>
      <c r="BM52" s="149" t="e">
        <f>INDEX(DB!$B$2:$AB$62,MATCH(Perf!$AL52,DB!$A$2:$A$62,0),MATCH(Perf!BM$1,DB!$B$1:$AB$1,0))</f>
        <v>#REF!</v>
      </c>
    </row>
    <row r="53" spans="1:65" x14ac:dyDescent="0.15">
      <c r="A53" s="151">
        <f t="shared" si="8"/>
        <v>45657</v>
      </c>
      <c r="B53" s="148" t="e" cm="1">
        <f t="array" ref="B53">SUMPRODUCT(TRANSPOSE(#REF!),Perf!$AM53:$BN53)/100</f>
        <v>#REF!</v>
      </c>
      <c r="C53" s="148" t="e" cm="1">
        <f t="array" ref="C53">SUMPRODUCT(TRANSPOSE(#REF!),Perf!$AM53:$BN53)/100</f>
        <v>#REF!</v>
      </c>
      <c r="D53" s="148" t="e" cm="1">
        <f t="array" ref="D53">SUMPRODUCT(TRANSPOSE(#REF!),Perf!$AM53:$BN53)/100</f>
        <v>#REF!</v>
      </c>
      <c r="E53" s="148" t="e" cm="1">
        <f t="array" ref="E53">SUMPRODUCT(TRANSPOSE(#REF!),Perf!$AM53:$BN53)/100</f>
        <v>#REF!</v>
      </c>
      <c r="F53" s="148" t="e" cm="1">
        <f t="array" ref="F53">SUMPRODUCT(TRANSPOSE(#REF!),Perf!$AM53:$BN53)/100</f>
        <v>#REF!</v>
      </c>
      <c r="G53" s="148" t="e">
        <f t="shared" si="9"/>
        <v>#REF!</v>
      </c>
      <c r="H53" s="148"/>
      <c r="I53" s="160">
        <f t="shared" si="33"/>
        <v>45626</v>
      </c>
      <c r="J53" s="148" t="e">
        <f t="shared" si="19"/>
        <v>#REF!</v>
      </c>
      <c r="K53" s="148" t="e">
        <f t="shared" si="20"/>
        <v>#REF!</v>
      </c>
      <c r="L53" s="148" t="e">
        <f t="shared" si="21"/>
        <v>#REF!</v>
      </c>
      <c r="M53" s="148" t="e">
        <f t="shared" si="22"/>
        <v>#REF!</v>
      </c>
      <c r="N53" s="148" t="e">
        <f t="shared" si="23"/>
        <v>#REF!</v>
      </c>
      <c r="O53" s="148" t="e">
        <f t="shared" si="24"/>
        <v>#REF!</v>
      </c>
      <c r="P53" s="148"/>
      <c r="Q53" s="160">
        <f t="shared" si="12"/>
        <v>45657</v>
      </c>
      <c r="R53" s="148" t="e">
        <f t="shared" si="13"/>
        <v>#REF!</v>
      </c>
      <c r="S53" s="148" t="e">
        <f t="shared" si="14"/>
        <v>#REF!</v>
      </c>
      <c r="T53" s="148" t="e">
        <f t="shared" si="15"/>
        <v>#REF!</v>
      </c>
      <c r="U53" s="148" t="e">
        <f t="shared" si="16"/>
        <v>#REF!</v>
      </c>
      <c r="V53" s="148" t="e">
        <f t="shared" si="17"/>
        <v>#REF!</v>
      </c>
      <c r="W53" s="148"/>
      <c r="X53" s="160">
        <f t="shared" si="34"/>
        <v>45657</v>
      </c>
      <c r="Y53" s="169" t="e" cm="1">
        <f t="array" ref="Y53">AnnualReturn(R18:R53)</f>
        <v>#VALUE!</v>
      </c>
      <c r="Z53" s="169" t="e" cm="1">
        <f t="array" ref="Z53">AnnualReturn(S18:S53)</f>
        <v>#VALUE!</v>
      </c>
      <c r="AA53" s="169" t="e" cm="1">
        <f t="array" ref="AA53">AnnualReturn(T18:T53)</f>
        <v>#VALUE!</v>
      </c>
      <c r="AB53" s="169" t="e" cm="1">
        <f t="array" ref="AB53">AnnualReturn(U18:U53)</f>
        <v>#VALUE!</v>
      </c>
      <c r="AC53" s="169" t="e" cm="1">
        <f t="array" ref="AC53">AnnualReturn(V18:V53)</f>
        <v>#VALUE!</v>
      </c>
      <c r="AD53" s="148"/>
      <c r="AE53" s="160">
        <f t="shared" si="35"/>
        <v>45657</v>
      </c>
      <c r="AF53" s="170" t="e">
        <f t="shared" si="28"/>
        <v>#REF!</v>
      </c>
      <c r="AG53" s="170" t="e">
        <f t="shared" si="29"/>
        <v>#REF!</v>
      </c>
      <c r="AH53" s="170" t="e">
        <f t="shared" si="30"/>
        <v>#REF!</v>
      </c>
      <c r="AI53" s="170" t="e">
        <f t="shared" si="31"/>
        <v>#REF!</v>
      </c>
      <c r="AJ53" s="170" t="e">
        <f t="shared" si="32"/>
        <v>#REF!</v>
      </c>
      <c r="AL53" s="151">
        <f>DB!A53</f>
        <v>45657</v>
      </c>
      <c r="AM53" s="149" t="e">
        <f>INDEX(DB!$B$2:$AB$62,MATCH(Perf!$AL53,DB!$A$2:$A$62,0),MATCH(Perf!AM$1,DB!$B$1:$AB$1,0))</f>
        <v>#REF!</v>
      </c>
      <c r="AN53" s="149" t="e">
        <f>INDEX(DB!$B$2:$AB$62,MATCH(Perf!$AL53,DB!$A$2:$A$62,0),MATCH(Perf!AN$1,DB!$B$1:$AB$1,0))</f>
        <v>#REF!</v>
      </c>
      <c r="AO53" s="149" t="e">
        <f>INDEX(DB!$B$2:$AB$62,MATCH(Perf!$AL53,DB!$A$2:$A$62,0),MATCH(Perf!AO$1,DB!$B$1:$AB$1,0))</f>
        <v>#REF!</v>
      </c>
      <c r="AP53" s="149" t="e">
        <f>INDEX(DB!$B$2:$AB$62,MATCH(Perf!$AL53,DB!$A$2:$A$62,0),MATCH(Perf!AP$1,DB!$B$1:$AB$1,0))</f>
        <v>#REF!</v>
      </c>
      <c r="AQ53" s="149" t="e">
        <f>INDEX(DB!$B$2:$AB$62,MATCH(Perf!$AL53,DB!$A$2:$A$62,0),MATCH(Perf!AQ$1,DB!$B$1:$AB$1,0))</f>
        <v>#REF!</v>
      </c>
      <c r="AR53" s="149" t="e">
        <f>INDEX(DB!$B$2:$AB$62,MATCH(Perf!$AL53,DB!$A$2:$A$62,0),MATCH(Perf!AR$1,DB!$B$1:$AB$1,0))</f>
        <v>#REF!</v>
      </c>
      <c r="AS53" s="149" t="e">
        <f>INDEX(DB!$B$2:$AB$62,MATCH(Perf!$AL53,DB!$A$2:$A$62,0),MATCH(Perf!AS$1,DB!$B$1:$AB$1,0))</f>
        <v>#REF!</v>
      </c>
      <c r="AT53" s="149" t="e">
        <f>INDEX(DB!$B$2:$AB$62,MATCH(Perf!$AL53,DB!$A$2:$A$62,0),MATCH(Perf!AT$1,DB!$B$1:$AB$1,0))</f>
        <v>#REF!</v>
      </c>
      <c r="AU53" s="149" t="e">
        <f>INDEX(DB!$B$2:$AB$62,MATCH(Perf!$AL53,DB!$A$2:$A$62,0),MATCH(Perf!AU$1,DB!$B$1:$AB$1,0))</f>
        <v>#REF!</v>
      </c>
      <c r="AV53" s="149" t="e">
        <f>INDEX(DB!$B$2:$AB$62,MATCH(Perf!$AL53,DB!$A$2:$A$62,0),MATCH(Perf!AV$1,DB!$B$1:$AB$1,0))</f>
        <v>#REF!</v>
      </c>
      <c r="AW53" s="149" t="e">
        <f>INDEX(DB!$B$2:$AB$62,MATCH(Perf!$AL53,DB!$A$2:$A$62,0),MATCH(Perf!AW$1,DB!$B$1:$AB$1,0))</f>
        <v>#REF!</v>
      </c>
      <c r="AX53" s="149" t="e">
        <f>INDEX(DB!$B$2:$AB$62,MATCH(Perf!$AL53,DB!$A$2:$A$62,0),MATCH(Perf!AX$1,DB!$B$1:$AB$1,0))</f>
        <v>#REF!</v>
      </c>
      <c r="AY53" s="149" t="e">
        <f>INDEX(DB!$B$2:$AB$62,MATCH(Perf!$AL53,DB!$A$2:$A$62,0),MATCH(Perf!AY$1,DB!$B$1:$AB$1,0))</f>
        <v>#REF!</v>
      </c>
      <c r="AZ53" s="149" t="e">
        <f>INDEX(DB!$B$2:$AB$62,MATCH(Perf!$AL53,DB!$A$2:$A$62,0),MATCH(Perf!AZ$1,DB!$B$1:$AB$1,0))</f>
        <v>#REF!</v>
      </c>
      <c r="BA53" s="149" t="e">
        <f>INDEX(DB!$B$2:$AB$62,MATCH(Perf!$AL53,DB!$A$2:$A$62,0),MATCH(Perf!BA$1,DB!$B$1:$AB$1,0))</f>
        <v>#REF!</v>
      </c>
      <c r="BB53" s="149" t="e">
        <f>INDEX(DB!$B$2:$AB$62,MATCH(Perf!$AL53,DB!$A$2:$A$62,0),MATCH(Perf!BB$1,DB!$B$1:$AB$1,0))</f>
        <v>#REF!</v>
      </c>
      <c r="BC53" s="149" t="e">
        <f>INDEX(DB!$B$2:$AB$62,MATCH(Perf!$AL53,DB!$A$2:$A$62,0),MATCH(Perf!BC$1,DB!$B$1:$AB$1,0))</f>
        <v>#REF!</v>
      </c>
      <c r="BD53" s="149" t="e">
        <f>INDEX(DB!$B$2:$AB$62,MATCH(Perf!$AL53,DB!$A$2:$A$62,0),MATCH(Perf!BD$1,DB!$B$1:$AB$1,0))</f>
        <v>#REF!</v>
      </c>
      <c r="BE53" s="149" t="e">
        <f>INDEX(DB!$B$2:$AB$62,MATCH(Perf!$AL53,DB!$A$2:$A$62,0),MATCH(Perf!BE$1,DB!$B$1:$AB$1,0))</f>
        <v>#REF!</v>
      </c>
      <c r="BF53" s="149" t="e">
        <f>INDEX(DB!$B$2:$AB$62,MATCH(Perf!$AL53,DB!$A$2:$A$62,0),MATCH(Perf!BF$1,DB!$B$1:$AB$1,0))</f>
        <v>#REF!</v>
      </c>
      <c r="BG53" s="149" t="e">
        <f>INDEX(DB!$B$2:$AB$62,MATCH(Perf!$AL53,DB!$A$2:$A$62,0),MATCH(Perf!BG$1,DB!$B$1:$AB$1,0))</f>
        <v>#REF!</v>
      </c>
      <c r="BH53" s="149" t="e">
        <f>INDEX(DB!$B$2:$AB$62,MATCH(Perf!$AL53,DB!$A$2:$A$62,0),MATCH(Perf!BH$1,DB!$B$1:$AB$1,0))</f>
        <v>#REF!</v>
      </c>
      <c r="BI53" s="149" t="e">
        <f>INDEX(DB!$B$2:$AB$62,MATCH(Perf!$AL53,DB!$A$2:$A$62,0),MATCH(Perf!BI$1,DB!$B$1:$AB$1,0))</f>
        <v>#REF!</v>
      </c>
      <c r="BJ53" s="149" t="e">
        <f t="shared" si="18"/>
        <v>#REF!</v>
      </c>
      <c r="BK53" s="149" t="e">
        <f>INDEX(DB!$B$2:$AB$62,MATCH(Perf!$AL53,DB!$A$2:$A$62,0),MATCH(Perf!BK$1,DB!$B$1:$AB$1,0))</f>
        <v>#REF!</v>
      </c>
      <c r="BL53" s="149" t="e">
        <f>INDEX(DB!$B$2:$AB$62,MATCH(Perf!$AL53,DB!$A$2:$A$62,0),MATCH(Perf!BL$1,DB!$B$1:$AB$1,0))</f>
        <v>#REF!</v>
      </c>
      <c r="BM53" s="149" t="e">
        <f>INDEX(DB!$B$2:$AB$62,MATCH(Perf!$AL53,DB!$A$2:$A$62,0),MATCH(Perf!BM$1,DB!$B$1:$AB$1,0))</f>
        <v>#REF!</v>
      </c>
    </row>
    <row r="54" spans="1:65" x14ac:dyDescent="0.15">
      <c r="A54" s="151">
        <f t="shared" si="8"/>
        <v>45688</v>
      </c>
      <c r="B54" s="148" t="e" cm="1">
        <f t="array" ref="B54">SUMPRODUCT(TRANSPOSE(#REF!),Perf!$AM54:$BN54)/100</f>
        <v>#REF!</v>
      </c>
      <c r="C54" s="148" t="e" cm="1">
        <f t="array" ref="C54">SUMPRODUCT(TRANSPOSE(#REF!),Perf!$AM54:$BN54)/100</f>
        <v>#REF!</v>
      </c>
      <c r="D54" s="148" t="e" cm="1">
        <f t="array" ref="D54">SUMPRODUCT(TRANSPOSE(#REF!),Perf!$AM54:$BN54)/100</f>
        <v>#REF!</v>
      </c>
      <c r="E54" s="148" t="e" cm="1">
        <f t="array" ref="E54">SUMPRODUCT(TRANSPOSE(#REF!),Perf!$AM54:$BN54)/100</f>
        <v>#REF!</v>
      </c>
      <c r="F54" s="148" t="e" cm="1">
        <f t="array" ref="F54">SUMPRODUCT(TRANSPOSE(#REF!),Perf!$AM54:$BN54)/100</f>
        <v>#REF!</v>
      </c>
      <c r="G54" s="148" t="e">
        <f t="shared" si="9"/>
        <v>#REF!</v>
      </c>
      <c r="H54" s="148"/>
      <c r="I54" s="160">
        <f t="shared" si="33"/>
        <v>45657</v>
      </c>
      <c r="J54" s="148" t="e">
        <f t="shared" si="19"/>
        <v>#REF!</v>
      </c>
      <c r="K54" s="148" t="e">
        <f t="shared" si="20"/>
        <v>#REF!</v>
      </c>
      <c r="L54" s="148" t="e">
        <f t="shared" si="21"/>
        <v>#REF!</v>
      </c>
      <c r="M54" s="148" t="e">
        <f t="shared" si="22"/>
        <v>#REF!</v>
      </c>
      <c r="N54" s="148" t="e">
        <f t="shared" si="23"/>
        <v>#REF!</v>
      </c>
      <c r="O54" s="148" t="e">
        <f t="shared" si="24"/>
        <v>#REF!</v>
      </c>
      <c r="P54" s="148"/>
      <c r="Q54" s="160">
        <f t="shared" si="12"/>
        <v>45688</v>
      </c>
      <c r="R54" s="148" t="e">
        <f t="shared" si="13"/>
        <v>#REF!</v>
      </c>
      <c r="S54" s="148" t="e">
        <f t="shared" si="14"/>
        <v>#REF!</v>
      </c>
      <c r="T54" s="148" t="e">
        <f t="shared" si="15"/>
        <v>#REF!</v>
      </c>
      <c r="U54" s="148" t="e">
        <f t="shared" si="16"/>
        <v>#REF!</v>
      </c>
      <c r="V54" s="148" t="e">
        <f t="shared" si="17"/>
        <v>#REF!</v>
      </c>
      <c r="W54" s="148"/>
      <c r="X54" s="160">
        <f t="shared" si="34"/>
        <v>45688</v>
      </c>
      <c r="Y54" s="169" t="e" cm="1">
        <f t="array" ref="Y54">AnnualReturn(R19:R54)</f>
        <v>#VALUE!</v>
      </c>
      <c r="Z54" s="169" t="e" cm="1">
        <f t="array" ref="Z54">AnnualReturn(S19:S54)</f>
        <v>#VALUE!</v>
      </c>
      <c r="AA54" s="169" t="e" cm="1">
        <f t="array" ref="AA54">AnnualReturn(T19:T54)</f>
        <v>#VALUE!</v>
      </c>
      <c r="AB54" s="169" t="e" cm="1">
        <f t="array" ref="AB54">AnnualReturn(U19:U54)</f>
        <v>#VALUE!</v>
      </c>
      <c r="AC54" s="169" t="e" cm="1">
        <f t="array" ref="AC54">AnnualReturn(V19:V54)</f>
        <v>#VALUE!</v>
      </c>
      <c r="AD54" s="148"/>
      <c r="AE54" s="160">
        <f t="shared" si="35"/>
        <v>45688</v>
      </c>
      <c r="AF54" s="170" t="e">
        <f t="shared" si="28"/>
        <v>#REF!</v>
      </c>
      <c r="AG54" s="170" t="e">
        <f t="shared" si="29"/>
        <v>#REF!</v>
      </c>
      <c r="AH54" s="170" t="e">
        <f t="shared" si="30"/>
        <v>#REF!</v>
      </c>
      <c r="AI54" s="170" t="e">
        <f t="shared" si="31"/>
        <v>#REF!</v>
      </c>
      <c r="AJ54" s="170" t="e">
        <f t="shared" si="32"/>
        <v>#REF!</v>
      </c>
      <c r="AL54" s="151">
        <f>DB!A54</f>
        <v>45688</v>
      </c>
      <c r="AM54" s="149" t="e">
        <f>INDEX(DB!$B$2:$AB$62,MATCH(Perf!$AL54,DB!$A$2:$A$62,0),MATCH(Perf!AM$1,DB!$B$1:$AB$1,0))</f>
        <v>#REF!</v>
      </c>
      <c r="AN54" s="149" t="e">
        <f>INDEX(DB!$B$2:$AB$62,MATCH(Perf!$AL54,DB!$A$2:$A$62,0),MATCH(Perf!AN$1,DB!$B$1:$AB$1,0))</f>
        <v>#REF!</v>
      </c>
      <c r="AO54" s="149" t="e">
        <f>INDEX(DB!$B$2:$AB$62,MATCH(Perf!$AL54,DB!$A$2:$A$62,0),MATCH(Perf!AO$1,DB!$B$1:$AB$1,0))</f>
        <v>#REF!</v>
      </c>
      <c r="AP54" s="149" t="e">
        <f>INDEX(DB!$B$2:$AB$62,MATCH(Perf!$AL54,DB!$A$2:$A$62,0),MATCH(Perf!AP$1,DB!$B$1:$AB$1,0))</f>
        <v>#REF!</v>
      </c>
      <c r="AQ54" s="149" t="e">
        <f>INDEX(DB!$B$2:$AB$62,MATCH(Perf!$AL54,DB!$A$2:$A$62,0),MATCH(Perf!AQ$1,DB!$B$1:$AB$1,0))</f>
        <v>#REF!</v>
      </c>
      <c r="AR54" s="149" t="e">
        <f>INDEX(DB!$B$2:$AB$62,MATCH(Perf!$AL54,DB!$A$2:$A$62,0),MATCH(Perf!AR$1,DB!$B$1:$AB$1,0))</f>
        <v>#REF!</v>
      </c>
      <c r="AS54" s="149" t="e">
        <f>INDEX(DB!$B$2:$AB$62,MATCH(Perf!$AL54,DB!$A$2:$A$62,0),MATCH(Perf!AS$1,DB!$B$1:$AB$1,0))</f>
        <v>#REF!</v>
      </c>
      <c r="AT54" s="149" t="e">
        <f>INDEX(DB!$B$2:$AB$62,MATCH(Perf!$AL54,DB!$A$2:$A$62,0),MATCH(Perf!AT$1,DB!$B$1:$AB$1,0))</f>
        <v>#REF!</v>
      </c>
      <c r="AU54" s="149" t="e">
        <f>INDEX(DB!$B$2:$AB$62,MATCH(Perf!$AL54,DB!$A$2:$A$62,0),MATCH(Perf!AU$1,DB!$B$1:$AB$1,0))</f>
        <v>#REF!</v>
      </c>
      <c r="AV54" s="149" t="e">
        <f>INDEX(DB!$B$2:$AB$62,MATCH(Perf!$AL54,DB!$A$2:$A$62,0),MATCH(Perf!AV$1,DB!$B$1:$AB$1,0))</f>
        <v>#REF!</v>
      </c>
      <c r="AW54" s="149" t="e">
        <f>INDEX(DB!$B$2:$AB$62,MATCH(Perf!$AL54,DB!$A$2:$A$62,0),MATCH(Perf!AW$1,DB!$B$1:$AB$1,0))</f>
        <v>#REF!</v>
      </c>
      <c r="AX54" s="149" t="e">
        <f>INDEX(DB!$B$2:$AB$62,MATCH(Perf!$AL54,DB!$A$2:$A$62,0),MATCH(Perf!AX$1,DB!$B$1:$AB$1,0))</f>
        <v>#REF!</v>
      </c>
      <c r="AY54" s="149" t="e">
        <f>INDEX(DB!$B$2:$AB$62,MATCH(Perf!$AL54,DB!$A$2:$A$62,0),MATCH(Perf!AY$1,DB!$B$1:$AB$1,0))</f>
        <v>#REF!</v>
      </c>
      <c r="AZ54" s="149" t="e">
        <f>INDEX(DB!$B$2:$AB$62,MATCH(Perf!$AL54,DB!$A$2:$A$62,0),MATCH(Perf!AZ$1,DB!$B$1:$AB$1,0))</f>
        <v>#REF!</v>
      </c>
      <c r="BA54" s="149" t="e">
        <f>INDEX(DB!$B$2:$AB$62,MATCH(Perf!$AL54,DB!$A$2:$A$62,0),MATCH(Perf!BA$1,DB!$B$1:$AB$1,0))</f>
        <v>#REF!</v>
      </c>
      <c r="BB54" s="149" t="e">
        <f>INDEX(DB!$B$2:$AB$62,MATCH(Perf!$AL54,DB!$A$2:$A$62,0),MATCH(Perf!BB$1,DB!$B$1:$AB$1,0))</f>
        <v>#REF!</v>
      </c>
      <c r="BC54" s="149" t="e">
        <f>INDEX(DB!$B$2:$AB$62,MATCH(Perf!$AL54,DB!$A$2:$A$62,0),MATCH(Perf!BC$1,DB!$B$1:$AB$1,0))</f>
        <v>#REF!</v>
      </c>
      <c r="BD54" s="149" t="e">
        <f>INDEX(DB!$B$2:$AB$62,MATCH(Perf!$AL54,DB!$A$2:$A$62,0),MATCH(Perf!BD$1,DB!$B$1:$AB$1,0))</f>
        <v>#REF!</v>
      </c>
      <c r="BE54" s="149" t="e">
        <f>INDEX(DB!$B$2:$AB$62,MATCH(Perf!$AL54,DB!$A$2:$A$62,0),MATCH(Perf!BE$1,DB!$B$1:$AB$1,0))</f>
        <v>#REF!</v>
      </c>
      <c r="BF54" s="149" t="e">
        <f>INDEX(DB!$B$2:$AB$62,MATCH(Perf!$AL54,DB!$A$2:$A$62,0),MATCH(Perf!BF$1,DB!$B$1:$AB$1,0))</f>
        <v>#REF!</v>
      </c>
      <c r="BG54" s="149" t="e">
        <f>INDEX(DB!$B$2:$AB$62,MATCH(Perf!$AL54,DB!$A$2:$A$62,0),MATCH(Perf!BG$1,DB!$B$1:$AB$1,0))</f>
        <v>#REF!</v>
      </c>
      <c r="BH54" s="149" t="e">
        <f>INDEX(DB!$B$2:$AB$62,MATCH(Perf!$AL54,DB!$A$2:$A$62,0),MATCH(Perf!BH$1,DB!$B$1:$AB$1,0))</f>
        <v>#REF!</v>
      </c>
      <c r="BI54" s="149" t="e">
        <f>INDEX(DB!$B$2:$AB$62,MATCH(Perf!$AL54,DB!$A$2:$A$62,0),MATCH(Perf!BI$1,DB!$B$1:$AB$1,0))</f>
        <v>#REF!</v>
      </c>
      <c r="BJ54" s="149" t="e">
        <f t="shared" si="18"/>
        <v>#REF!</v>
      </c>
      <c r="BK54" s="149" t="e">
        <f>INDEX(DB!$B$2:$AB$62,MATCH(Perf!$AL54,DB!$A$2:$A$62,0),MATCH(Perf!BK$1,DB!$B$1:$AB$1,0))</f>
        <v>#REF!</v>
      </c>
      <c r="BL54" s="149" t="e">
        <f>INDEX(DB!$B$2:$AB$62,MATCH(Perf!$AL54,DB!$A$2:$A$62,0),MATCH(Perf!BL$1,DB!$B$1:$AB$1,0))</f>
        <v>#REF!</v>
      </c>
      <c r="BM54" s="149" t="e">
        <f>INDEX(DB!$B$2:$AB$62,MATCH(Perf!$AL54,DB!$A$2:$A$62,0),MATCH(Perf!BM$1,DB!$B$1:$AB$1,0))</f>
        <v>#REF!</v>
      </c>
    </row>
    <row r="55" spans="1:65" x14ac:dyDescent="0.15">
      <c r="A55" s="151">
        <f t="shared" si="8"/>
        <v>45716</v>
      </c>
      <c r="B55" s="148" t="e" cm="1">
        <f t="array" ref="B55">SUMPRODUCT(TRANSPOSE(#REF!),Perf!$AM55:$BN55)/100</f>
        <v>#REF!</v>
      </c>
      <c r="C55" s="148" t="e" cm="1">
        <f t="array" ref="C55">SUMPRODUCT(TRANSPOSE(#REF!),Perf!$AM55:$BN55)/100</f>
        <v>#REF!</v>
      </c>
      <c r="D55" s="148" t="e" cm="1">
        <f t="array" ref="D55">SUMPRODUCT(TRANSPOSE(#REF!),Perf!$AM55:$BN55)/100</f>
        <v>#REF!</v>
      </c>
      <c r="E55" s="148" t="e" cm="1">
        <f t="array" ref="E55">SUMPRODUCT(TRANSPOSE(#REF!),Perf!$AM55:$BN55)/100</f>
        <v>#REF!</v>
      </c>
      <c r="F55" s="148" t="e" cm="1">
        <f t="array" ref="F55">SUMPRODUCT(TRANSPOSE(#REF!),Perf!$AM55:$BN55)/100</f>
        <v>#REF!</v>
      </c>
      <c r="G55" s="148" t="e">
        <f t="shared" si="9"/>
        <v>#REF!</v>
      </c>
      <c r="H55" s="148"/>
      <c r="I55" s="160">
        <f t="shared" si="33"/>
        <v>45688</v>
      </c>
      <c r="J55" s="148" t="e">
        <f t="shared" si="19"/>
        <v>#REF!</v>
      </c>
      <c r="K55" s="148" t="e">
        <f t="shared" si="20"/>
        <v>#REF!</v>
      </c>
      <c r="L55" s="148" t="e">
        <f t="shared" si="21"/>
        <v>#REF!</v>
      </c>
      <c r="M55" s="148" t="e">
        <f t="shared" si="22"/>
        <v>#REF!</v>
      </c>
      <c r="N55" s="148" t="e">
        <f t="shared" si="23"/>
        <v>#REF!</v>
      </c>
      <c r="O55" s="148" t="e">
        <f t="shared" si="24"/>
        <v>#REF!</v>
      </c>
      <c r="P55" s="148"/>
      <c r="Q55" s="160">
        <f t="shared" si="12"/>
        <v>45716</v>
      </c>
      <c r="R55" s="148" t="e">
        <f t="shared" si="13"/>
        <v>#REF!</v>
      </c>
      <c r="S55" s="148" t="e">
        <f t="shared" si="14"/>
        <v>#REF!</v>
      </c>
      <c r="T55" s="148" t="e">
        <f t="shared" si="15"/>
        <v>#REF!</v>
      </c>
      <c r="U55" s="148" t="e">
        <f t="shared" si="16"/>
        <v>#REF!</v>
      </c>
      <c r="V55" s="148" t="e">
        <f t="shared" si="17"/>
        <v>#REF!</v>
      </c>
      <c r="W55" s="148"/>
      <c r="X55" s="160">
        <f t="shared" si="34"/>
        <v>45716</v>
      </c>
      <c r="Y55" s="169" t="e" cm="1">
        <f t="array" ref="Y55">AnnualReturn(R20:R55)</f>
        <v>#VALUE!</v>
      </c>
      <c r="Z55" s="169" t="e" cm="1">
        <f t="array" ref="Z55">AnnualReturn(S20:S55)</f>
        <v>#VALUE!</v>
      </c>
      <c r="AA55" s="169" t="e" cm="1">
        <f t="array" ref="AA55">AnnualReturn(T20:T55)</f>
        <v>#VALUE!</v>
      </c>
      <c r="AB55" s="169" t="e" cm="1">
        <f t="array" ref="AB55">AnnualReturn(U20:U55)</f>
        <v>#VALUE!</v>
      </c>
      <c r="AC55" s="169" t="e" cm="1">
        <f t="array" ref="AC55">AnnualReturn(V20:V55)</f>
        <v>#VALUE!</v>
      </c>
      <c r="AD55" s="148"/>
      <c r="AE55" s="160">
        <f t="shared" si="35"/>
        <v>45716</v>
      </c>
      <c r="AF55" s="170" t="e">
        <f t="shared" si="28"/>
        <v>#REF!</v>
      </c>
      <c r="AG55" s="170" t="e">
        <f t="shared" si="29"/>
        <v>#REF!</v>
      </c>
      <c r="AH55" s="170" t="e">
        <f t="shared" si="30"/>
        <v>#REF!</v>
      </c>
      <c r="AI55" s="170" t="e">
        <f t="shared" si="31"/>
        <v>#REF!</v>
      </c>
      <c r="AJ55" s="170" t="e">
        <f t="shared" si="32"/>
        <v>#REF!</v>
      </c>
      <c r="AL55" s="151">
        <f>DB!A55</f>
        <v>45716</v>
      </c>
      <c r="AM55" s="149" t="e">
        <f>INDEX(DB!$B$2:$AB$62,MATCH(Perf!$AL55,DB!$A$2:$A$62,0),MATCH(Perf!AM$1,DB!$B$1:$AB$1,0))</f>
        <v>#REF!</v>
      </c>
      <c r="AN55" s="149" t="e">
        <f>INDEX(DB!$B$2:$AB$62,MATCH(Perf!$AL55,DB!$A$2:$A$62,0),MATCH(Perf!AN$1,DB!$B$1:$AB$1,0))</f>
        <v>#REF!</v>
      </c>
      <c r="AO55" s="149" t="e">
        <f>INDEX(DB!$B$2:$AB$62,MATCH(Perf!$AL55,DB!$A$2:$A$62,0),MATCH(Perf!AO$1,DB!$B$1:$AB$1,0))</f>
        <v>#REF!</v>
      </c>
      <c r="AP55" s="149" t="e">
        <f>INDEX(DB!$B$2:$AB$62,MATCH(Perf!$AL55,DB!$A$2:$A$62,0),MATCH(Perf!AP$1,DB!$B$1:$AB$1,0))</f>
        <v>#REF!</v>
      </c>
      <c r="AQ55" s="149" t="e">
        <f>INDEX(DB!$B$2:$AB$62,MATCH(Perf!$AL55,DB!$A$2:$A$62,0),MATCH(Perf!AQ$1,DB!$B$1:$AB$1,0))</f>
        <v>#REF!</v>
      </c>
      <c r="AR55" s="149" t="e">
        <f>INDEX(DB!$B$2:$AB$62,MATCH(Perf!$AL55,DB!$A$2:$A$62,0),MATCH(Perf!AR$1,DB!$B$1:$AB$1,0))</f>
        <v>#REF!</v>
      </c>
      <c r="AS55" s="149" t="e">
        <f>INDEX(DB!$B$2:$AB$62,MATCH(Perf!$AL55,DB!$A$2:$A$62,0),MATCH(Perf!AS$1,DB!$B$1:$AB$1,0))</f>
        <v>#REF!</v>
      </c>
      <c r="AT55" s="149" t="e">
        <f>INDEX(DB!$B$2:$AB$62,MATCH(Perf!$AL55,DB!$A$2:$A$62,0),MATCH(Perf!AT$1,DB!$B$1:$AB$1,0))</f>
        <v>#REF!</v>
      </c>
      <c r="AU55" s="149" t="e">
        <f>INDEX(DB!$B$2:$AB$62,MATCH(Perf!$AL55,DB!$A$2:$A$62,0),MATCH(Perf!AU$1,DB!$B$1:$AB$1,0))</f>
        <v>#REF!</v>
      </c>
      <c r="AV55" s="149" t="e">
        <f>INDEX(DB!$B$2:$AB$62,MATCH(Perf!$AL55,DB!$A$2:$A$62,0),MATCH(Perf!AV$1,DB!$B$1:$AB$1,0))</f>
        <v>#REF!</v>
      </c>
      <c r="AW55" s="149" t="e">
        <f>INDEX(DB!$B$2:$AB$62,MATCH(Perf!$AL55,DB!$A$2:$A$62,0),MATCH(Perf!AW$1,DB!$B$1:$AB$1,0))</f>
        <v>#REF!</v>
      </c>
      <c r="AX55" s="149" t="e">
        <f>INDEX(DB!$B$2:$AB$62,MATCH(Perf!$AL55,DB!$A$2:$A$62,0),MATCH(Perf!AX$1,DB!$B$1:$AB$1,0))</f>
        <v>#REF!</v>
      </c>
      <c r="AY55" s="149" t="e">
        <f>INDEX(DB!$B$2:$AB$62,MATCH(Perf!$AL55,DB!$A$2:$A$62,0),MATCH(Perf!AY$1,DB!$B$1:$AB$1,0))</f>
        <v>#REF!</v>
      </c>
      <c r="AZ55" s="149" t="e">
        <f>INDEX(DB!$B$2:$AB$62,MATCH(Perf!$AL55,DB!$A$2:$A$62,0),MATCH(Perf!AZ$1,DB!$B$1:$AB$1,0))</f>
        <v>#REF!</v>
      </c>
      <c r="BA55" s="149" t="e">
        <f>INDEX(DB!$B$2:$AB$62,MATCH(Perf!$AL55,DB!$A$2:$A$62,0),MATCH(Perf!BA$1,DB!$B$1:$AB$1,0))</f>
        <v>#REF!</v>
      </c>
      <c r="BB55" s="149" t="e">
        <f>INDEX(DB!$B$2:$AB$62,MATCH(Perf!$AL55,DB!$A$2:$A$62,0),MATCH(Perf!BB$1,DB!$B$1:$AB$1,0))</f>
        <v>#REF!</v>
      </c>
      <c r="BC55" s="149" t="e">
        <f>INDEX(DB!$B$2:$AB$62,MATCH(Perf!$AL55,DB!$A$2:$A$62,0),MATCH(Perf!BC$1,DB!$B$1:$AB$1,0))</f>
        <v>#REF!</v>
      </c>
      <c r="BD55" s="149" t="e">
        <f>INDEX(DB!$B$2:$AB$62,MATCH(Perf!$AL55,DB!$A$2:$A$62,0),MATCH(Perf!BD$1,DB!$B$1:$AB$1,0))</f>
        <v>#REF!</v>
      </c>
      <c r="BE55" s="149" t="e">
        <f>INDEX(DB!$B$2:$AB$62,MATCH(Perf!$AL55,DB!$A$2:$A$62,0),MATCH(Perf!BE$1,DB!$B$1:$AB$1,0))</f>
        <v>#REF!</v>
      </c>
      <c r="BF55" s="149" t="e">
        <f>INDEX(DB!$B$2:$AB$62,MATCH(Perf!$AL55,DB!$A$2:$A$62,0),MATCH(Perf!BF$1,DB!$B$1:$AB$1,0))</f>
        <v>#REF!</v>
      </c>
      <c r="BG55" s="149" t="e">
        <f>INDEX(DB!$B$2:$AB$62,MATCH(Perf!$AL55,DB!$A$2:$A$62,0),MATCH(Perf!BG$1,DB!$B$1:$AB$1,0))</f>
        <v>#REF!</v>
      </c>
      <c r="BH55" s="149" t="e">
        <f>INDEX(DB!$B$2:$AB$62,MATCH(Perf!$AL55,DB!$A$2:$A$62,0),MATCH(Perf!BH$1,DB!$B$1:$AB$1,0))</f>
        <v>#REF!</v>
      </c>
      <c r="BI55" s="149" t="e">
        <f>INDEX(DB!$B$2:$AB$62,MATCH(Perf!$AL55,DB!$A$2:$A$62,0),MATCH(Perf!BI$1,DB!$B$1:$AB$1,0))</f>
        <v>#REF!</v>
      </c>
      <c r="BJ55" s="149" t="e">
        <f>INDEX(DB!$B$2:$AB$62,MATCH(Perf!$AL55,DB!$A$2:$A$62,0),MATCH(Perf!BJ$1,DB!$B$1:$AB$1,0))</f>
        <v>#REF!</v>
      </c>
      <c r="BK55" s="149" t="e">
        <f>INDEX(DB!$B$2:$AB$62,MATCH(Perf!$AL55,DB!$A$2:$A$62,0),MATCH(Perf!BK$1,DB!$B$1:$AB$1,0))</f>
        <v>#REF!</v>
      </c>
      <c r="BL55" s="149" t="e">
        <f>INDEX(DB!$B$2:$AB$62,MATCH(Perf!$AL55,DB!$A$2:$A$62,0),MATCH(Perf!BL$1,DB!$B$1:$AB$1,0))</f>
        <v>#REF!</v>
      </c>
      <c r="BM55" s="149" t="e">
        <f>INDEX(DB!$B$2:$AB$62,MATCH(Perf!$AL55,DB!$A$2:$A$62,0),MATCH(Perf!BM$1,DB!$B$1:$AB$1,0))</f>
        <v>#REF!</v>
      </c>
    </row>
    <row r="56" spans="1:65" x14ac:dyDescent="0.15">
      <c r="A56" s="151">
        <f t="shared" si="8"/>
        <v>45747</v>
      </c>
      <c r="B56" s="148" t="e" cm="1">
        <f t="array" ref="B56">SUMPRODUCT(TRANSPOSE(#REF!),Perf!$AM56:$BN56)/100</f>
        <v>#REF!</v>
      </c>
      <c r="C56" s="148" t="e" cm="1">
        <f t="array" ref="C56">SUMPRODUCT(TRANSPOSE(#REF!),Perf!$AM56:$BN56)/100</f>
        <v>#REF!</v>
      </c>
      <c r="D56" s="148" t="e" cm="1">
        <f t="array" ref="D56">SUMPRODUCT(TRANSPOSE(#REF!),Perf!$AM56:$BN56)/100</f>
        <v>#REF!</v>
      </c>
      <c r="E56" s="148" t="e" cm="1">
        <f t="array" ref="E56">SUMPRODUCT(TRANSPOSE(#REF!),Perf!$AM56:$BN56)/100</f>
        <v>#REF!</v>
      </c>
      <c r="F56" s="148" t="e" cm="1">
        <f t="array" ref="F56">SUMPRODUCT(TRANSPOSE(#REF!),Perf!$AM56:$BN56)/100</f>
        <v>#REF!</v>
      </c>
      <c r="G56" s="148" t="e">
        <f t="shared" si="9"/>
        <v>#REF!</v>
      </c>
      <c r="H56" s="148"/>
      <c r="I56" s="160">
        <f t="shared" si="33"/>
        <v>45716</v>
      </c>
      <c r="J56" s="148" t="e">
        <f t="shared" si="19"/>
        <v>#REF!</v>
      </c>
      <c r="K56" s="148" t="e">
        <f t="shared" si="20"/>
        <v>#REF!</v>
      </c>
      <c r="L56" s="148" t="e">
        <f t="shared" si="21"/>
        <v>#REF!</v>
      </c>
      <c r="M56" s="148" t="e">
        <f t="shared" si="22"/>
        <v>#REF!</v>
      </c>
      <c r="N56" s="148" t="e">
        <f t="shared" si="23"/>
        <v>#REF!</v>
      </c>
      <c r="O56" s="148" t="e">
        <f t="shared" si="24"/>
        <v>#REF!</v>
      </c>
      <c r="P56" s="148"/>
      <c r="Q56" s="160">
        <f t="shared" si="12"/>
        <v>45747</v>
      </c>
      <c r="R56" s="148" t="e">
        <f t="shared" si="13"/>
        <v>#REF!</v>
      </c>
      <c r="S56" s="148" t="e">
        <f t="shared" si="14"/>
        <v>#REF!</v>
      </c>
      <c r="T56" s="148" t="e">
        <f t="shared" si="15"/>
        <v>#REF!</v>
      </c>
      <c r="U56" s="148" t="e">
        <f t="shared" si="16"/>
        <v>#REF!</v>
      </c>
      <c r="V56" s="148" t="e">
        <f t="shared" si="17"/>
        <v>#REF!</v>
      </c>
      <c r="W56" s="148"/>
      <c r="X56" s="160">
        <f t="shared" si="34"/>
        <v>45747</v>
      </c>
      <c r="Y56" s="169" t="e" cm="1">
        <f t="array" ref="Y56">AnnualReturn(R21:R56)</f>
        <v>#VALUE!</v>
      </c>
      <c r="Z56" s="169" t="e" cm="1">
        <f t="array" ref="Z56">AnnualReturn(S21:S56)</f>
        <v>#VALUE!</v>
      </c>
      <c r="AA56" s="169" t="e" cm="1">
        <f t="array" ref="AA56">AnnualReturn(T21:T56)</f>
        <v>#VALUE!</v>
      </c>
      <c r="AB56" s="169" t="e" cm="1">
        <f t="array" ref="AB56">AnnualReturn(U21:U56)</f>
        <v>#VALUE!</v>
      </c>
      <c r="AC56" s="169" t="e" cm="1">
        <f t="array" ref="AC56">AnnualReturn(V21:V56)</f>
        <v>#VALUE!</v>
      </c>
      <c r="AD56" s="148"/>
      <c r="AE56" s="160">
        <f t="shared" si="35"/>
        <v>45747</v>
      </c>
      <c r="AF56" s="170" t="e">
        <f t="shared" si="28"/>
        <v>#REF!</v>
      </c>
      <c r="AG56" s="170" t="e">
        <f t="shared" si="29"/>
        <v>#REF!</v>
      </c>
      <c r="AH56" s="170" t="e">
        <f t="shared" si="30"/>
        <v>#REF!</v>
      </c>
      <c r="AI56" s="170" t="e">
        <f t="shared" si="31"/>
        <v>#REF!</v>
      </c>
      <c r="AJ56" s="170" t="e">
        <f t="shared" si="32"/>
        <v>#REF!</v>
      </c>
      <c r="AL56" s="151">
        <f>DB!A56</f>
        <v>45747</v>
      </c>
      <c r="AM56" s="149" t="e">
        <f>INDEX(DB!$B$2:$AB$62,MATCH(Perf!$AL56,DB!$A$2:$A$62,0),MATCH(Perf!AM$1,DB!$B$1:$AB$1,0))</f>
        <v>#REF!</v>
      </c>
      <c r="AN56" s="149" t="e">
        <f>INDEX(DB!$B$2:$AB$62,MATCH(Perf!$AL56,DB!$A$2:$A$62,0),MATCH(Perf!AN$1,DB!$B$1:$AB$1,0))</f>
        <v>#REF!</v>
      </c>
      <c r="AO56" s="149" t="e">
        <f>INDEX(DB!$B$2:$AB$62,MATCH(Perf!$AL56,DB!$A$2:$A$62,0),MATCH(Perf!AO$1,DB!$B$1:$AB$1,0))</f>
        <v>#REF!</v>
      </c>
      <c r="AP56" s="149" t="e">
        <f>INDEX(DB!$B$2:$AB$62,MATCH(Perf!$AL56,DB!$A$2:$A$62,0),MATCH(Perf!AP$1,DB!$B$1:$AB$1,0))</f>
        <v>#REF!</v>
      </c>
      <c r="AQ56" s="149" t="e">
        <f>INDEX(DB!$B$2:$AB$62,MATCH(Perf!$AL56,DB!$A$2:$A$62,0),MATCH(Perf!AQ$1,DB!$B$1:$AB$1,0))</f>
        <v>#REF!</v>
      </c>
      <c r="AR56" s="149" t="e">
        <f>INDEX(DB!$B$2:$AB$62,MATCH(Perf!$AL56,DB!$A$2:$A$62,0),MATCH(Perf!AR$1,DB!$B$1:$AB$1,0))</f>
        <v>#REF!</v>
      </c>
      <c r="AS56" s="149" t="e">
        <f>INDEX(DB!$B$2:$AB$62,MATCH(Perf!$AL56,DB!$A$2:$A$62,0),MATCH(Perf!AS$1,DB!$B$1:$AB$1,0))</f>
        <v>#REF!</v>
      </c>
      <c r="AT56" s="149" t="e">
        <f>INDEX(DB!$B$2:$AB$62,MATCH(Perf!$AL56,DB!$A$2:$A$62,0),MATCH(Perf!AT$1,DB!$B$1:$AB$1,0))</f>
        <v>#REF!</v>
      </c>
      <c r="AU56" s="149" t="e">
        <f>INDEX(DB!$B$2:$AB$62,MATCH(Perf!$AL56,DB!$A$2:$A$62,0),MATCH(Perf!AU$1,DB!$B$1:$AB$1,0))</f>
        <v>#REF!</v>
      </c>
      <c r="AV56" s="149" t="e">
        <f>INDEX(DB!$B$2:$AB$62,MATCH(Perf!$AL56,DB!$A$2:$A$62,0),MATCH(Perf!AV$1,DB!$B$1:$AB$1,0))</f>
        <v>#REF!</v>
      </c>
      <c r="AW56" s="149" t="e">
        <f>INDEX(DB!$B$2:$AB$62,MATCH(Perf!$AL56,DB!$A$2:$A$62,0),MATCH(Perf!AW$1,DB!$B$1:$AB$1,0))</f>
        <v>#REF!</v>
      </c>
      <c r="AX56" s="149" t="e">
        <f>INDEX(DB!$B$2:$AB$62,MATCH(Perf!$AL56,DB!$A$2:$A$62,0),MATCH(Perf!AX$1,DB!$B$1:$AB$1,0))</f>
        <v>#REF!</v>
      </c>
      <c r="AY56" s="149" t="e">
        <f>INDEX(DB!$B$2:$AB$62,MATCH(Perf!$AL56,DB!$A$2:$A$62,0),MATCH(Perf!AY$1,DB!$B$1:$AB$1,0))</f>
        <v>#REF!</v>
      </c>
      <c r="AZ56" s="149" t="e">
        <f>INDEX(DB!$B$2:$AB$62,MATCH(Perf!$AL56,DB!$A$2:$A$62,0),MATCH(Perf!AZ$1,DB!$B$1:$AB$1,0))</f>
        <v>#REF!</v>
      </c>
      <c r="BA56" s="149" t="e">
        <f>INDEX(DB!$B$2:$AB$62,MATCH(Perf!$AL56,DB!$A$2:$A$62,0),MATCH(Perf!BA$1,DB!$B$1:$AB$1,0))</f>
        <v>#REF!</v>
      </c>
      <c r="BB56" s="149" t="e">
        <f>INDEX(DB!$B$2:$AB$62,MATCH(Perf!$AL56,DB!$A$2:$A$62,0),MATCH(Perf!BB$1,DB!$B$1:$AB$1,0))</f>
        <v>#REF!</v>
      </c>
      <c r="BC56" s="149" t="e">
        <f>INDEX(DB!$B$2:$AB$62,MATCH(Perf!$AL56,DB!$A$2:$A$62,0),MATCH(Perf!BC$1,DB!$B$1:$AB$1,0))</f>
        <v>#REF!</v>
      </c>
      <c r="BD56" s="149" t="e">
        <f>INDEX(DB!$B$2:$AB$62,MATCH(Perf!$AL56,DB!$A$2:$A$62,0),MATCH(Perf!BD$1,DB!$B$1:$AB$1,0))</f>
        <v>#REF!</v>
      </c>
      <c r="BE56" s="149" t="e">
        <f>INDEX(DB!$B$2:$AB$62,MATCH(Perf!$AL56,DB!$A$2:$A$62,0),MATCH(Perf!BE$1,DB!$B$1:$AB$1,0))</f>
        <v>#REF!</v>
      </c>
      <c r="BF56" s="149" t="e">
        <f>INDEX(DB!$B$2:$AB$62,MATCH(Perf!$AL56,DB!$A$2:$A$62,0),MATCH(Perf!BF$1,DB!$B$1:$AB$1,0))</f>
        <v>#REF!</v>
      </c>
      <c r="BG56" s="149" t="e">
        <f>INDEX(DB!$B$2:$AB$62,MATCH(Perf!$AL56,DB!$A$2:$A$62,0),MATCH(Perf!BG$1,DB!$B$1:$AB$1,0))</f>
        <v>#REF!</v>
      </c>
      <c r="BH56" s="149" t="e">
        <f>INDEX(DB!$B$2:$AB$62,MATCH(Perf!$AL56,DB!$A$2:$A$62,0),MATCH(Perf!BH$1,DB!$B$1:$AB$1,0))</f>
        <v>#REF!</v>
      </c>
      <c r="BI56" s="149" t="e">
        <f>INDEX(DB!$B$2:$AB$62,MATCH(Perf!$AL56,DB!$A$2:$A$62,0),MATCH(Perf!BI$1,DB!$B$1:$AB$1,0))</f>
        <v>#REF!</v>
      </c>
      <c r="BJ56" s="149" t="e">
        <f>INDEX(DB!$B$2:$AB$62,MATCH(Perf!$AL56,DB!$A$2:$A$62,0),MATCH(Perf!BJ$1,DB!$B$1:$AB$1,0))</f>
        <v>#REF!</v>
      </c>
      <c r="BK56" s="149" t="e">
        <f>INDEX(DB!$B$2:$AB$62,MATCH(Perf!$AL56,DB!$A$2:$A$62,0),MATCH(Perf!BK$1,DB!$B$1:$AB$1,0))</f>
        <v>#REF!</v>
      </c>
      <c r="BL56" s="149" t="e">
        <f>INDEX(DB!$B$2:$AB$62,MATCH(Perf!$AL56,DB!$A$2:$A$62,0),MATCH(Perf!BL$1,DB!$B$1:$AB$1,0))</f>
        <v>#REF!</v>
      </c>
      <c r="BM56" s="149" t="e">
        <f>INDEX(DB!$B$2:$AB$62,MATCH(Perf!$AL56,DB!$A$2:$A$62,0),MATCH(Perf!BM$1,DB!$B$1:$AB$1,0))</f>
        <v>#REF!</v>
      </c>
    </row>
    <row r="57" spans="1:65" x14ac:dyDescent="0.15">
      <c r="A57" s="151">
        <f t="shared" si="8"/>
        <v>45777</v>
      </c>
      <c r="B57" s="148" t="e" cm="1">
        <f t="array" ref="B57">SUMPRODUCT(TRANSPOSE(#REF!),Perf!$AM57:$BN57)/100</f>
        <v>#REF!</v>
      </c>
      <c r="C57" s="148" t="e" cm="1">
        <f t="array" ref="C57">SUMPRODUCT(TRANSPOSE(#REF!),Perf!$AM57:$BN57)/100</f>
        <v>#REF!</v>
      </c>
      <c r="D57" s="148" t="e" cm="1">
        <f t="array" ref="D57">SUMPRODUCT(TRANSPOSE(#REF!),Perf!$AM57:$BN57)/100</f>
        <v>#REF!</v>
      </c>
      <c r="E57" s="148" t="e" cm="1">
        <f t="array" ref="E57">SUMPRODUCT(TRANSPOSE(#REF!),Perf!$AM57:$BN57)/100</f>
        <v>#REF!</v>
      </c>
      <c r="F57" s="148" t="e" cm="1">
        <f t="array" ref="F57">SUMPRODUCT(TRANSPOSE(#REF!),Perf!$AM57:$BN57)/100</f>
        <v>#REF!</v>
      </c>
      <c r="G57" s="148" t="e">
        <f t="shared" si="9"/>
        <v>#REF!</v>
      </c>
      <c r="H57" s="148"/>
      <c r="I57" s="160">
        <f t="shared" si="33"/>
        <v>45747</v>
      </c>
      <c r="J57" s="148" t="e">
        <f t="shared" si="19"/>
        <v>#REF!</v>
      </c>
      <c r="K57" s="148" t="e">
        <f t="shared" si="20"/>
        <v>#REF!</v>
      </c>
      <c r="L57" s="148" t="e">
        <f t="shared" si="21"/>
        <v>#REF!</v>
      </c>
      <c r="M57" s="148" t="e">
        <f t="shared" si="22"/>
        <v>#REF!</v>
      </c>
      <c r="N57" s="148" t="e">
        <f t="shared" si="23"/>
        <v>#REF!</v>
      </c>
      <c r="O57" s="148" t="e">
        <f t="shared" si="24"/>
        <v>#REF!</v>
      </c>
      <c r="P57" s="148"/>
      <c r="Q57" s="160">
        <f t="shared" si="12"/>
        <v>45777</v>
      </c>
      <c r="R57" s="148" t="e">
        <f t="shared" si="13"/>
        <v>#REF!</v>
      </c>
      <c r="S57" s="148" t="e">
        <f t="shared" si="14"/>
        <v>#REF!</v>
      </c>
      <c r="T57" s="148" t="e">
        <f t="shared" si="15"/>
        <v>#REF!</v>
      </c>
      <c r="U57" s="148" t="e">
        <f t="shared" si="16"/>
        <v>#REF!</v>
      </c>
      <c r="V57" s="148" t="e">
        <f t="shared" si="17"/>
        <v>#REF!</v>
      </c>
      <c r="W57" s="148"/>
      <c r="X57" s="160">
        <f t="shared" si="34"/>
        <v>45777</v>
      </c>
      <c r="Y57" s="169" t="e" cm="1">
        <f t="array" ref="Y57">AnnualReturn(R22:R57)</f>
        <v>#VALUE!</v>
      </c>
      <c r="Z57" s="169" t="e" cm="1">
        <f t="array" ref="Z57">AnnualReturn(S22:S57)</f>
        <v>#VALUE!</v>
      </c>
      <c r="AA57" s="169" t="e" cm="1">
        <f t="array" ref="AA57">AnnualReturn(T22:T57)</f>
        <v>#VALUE!</v>
      </c>
      <c r="AB57" s="169" t="e" cm="1">
        <f t="array" ref="AB57">AnnualReturn(U22:U57)</f>
        <v>#VALUE!</v>
      </c>
      <c r="AC57" s="169" t="e" cm="1">
        <f t="array" ref="AC57">AnnualReturn(V22:V57)</f>
        <v>#VALUE!</v>
      </c>
      <c r="AD57" s="148"/>
      <c r="AE57" s="160">
        <f t="shared" si="35"/>
        <v>45777</v>
      </c>
      <c r="AF57" s="170" t="e">
        <f t="shared" si="28"/>
        <v>#REF!</v>
      </c>
      <c r="AG57" s="170" t="e">
        <f t="shared" si="29"/>
        <v>#REF!</v>
      </c>
      <c r="AH57" s="170" t="e">
        <f t="shared" si="30"/>
        <v>#REF!</v>
      </c>
      <c r="AI57" s="170" t="e">
        <f t="shared" si="31"/>
        <v>#REF!</v>
      </c>
      <c r="AJ57" s="170" t="e">
        <f t="shared" si="32"/>
        <v>#REF!</v>
      </c>
      <c r="AL57" s="151">
        <f>DB!A57</f>
        <v>45777</v>
      </c>
      <c r="AM57" s="149" t="e">
        <f>INDEX(DB!$B$2:$AB$62,MATCH(Perf!$AL57,DB!$A$2:$A$62,0),MATCH(Perf!AM$1,DB!$B$1:$AB$1,0))</f>
        <v>#REF!</v>
      </c>
      <c r="AN57" s="149" t="e">
        <f>INDEX(DB!$B$2:$AB$62,MATCH(Perf!$AL57,DB!$A$2:$A$62,0),MATCH(Perf!AN$1,DB!$B$1:$AB$1,0))</f>
        <v>#REF!</v>
      </c>
      <c r="AO57" s="149" t="e">
        <f>INDEX(DB!$B$2:$AB$62,MATCH(Perf!$AL57,DB!$A$2:$A$62,0),MATCH(Perf!AO$1,DB!$B$1:$AB$1,0))</f>
        <v>#REF!</v>
      </c>
      <c r="AP57" s="149" t="e">
        <f>INDEX(DB!$B$2:$AB$62,MATCH(Perf!$AL57,DB!$A$2:$A$62,0),MATCH(Perf!AP$1,DB!$B$1:$AB$1,0))</f>
        <v>#REF!</v>
      </c>
      <c r="AQ57" s="149" t="e">
        <f>INDEX(DB!$B$2:$AB$62,MATCH(Perf!$AL57,DB!$A$2:$A$62,0),MATCH(Perf!AQ$1,DB!$B$1:$AB$1,0))</f>
        <v>#REF!</v>
      </c>
      <c r="AR57" s="149" t="e">
        <f>INDEX(DB!$B$2:$AB$62,MATCH(Perf!$AL57,DB!$A$2:$A$62,0),MATCH(Perf!AR$1,DB!$B$1:$AB$1,0))</f>
        <v>#REF!</v>
      </c>
      <c r="AS57" s="149" t="e">
        <f>INDEX(DB!$B$2:$AB$62,MATCH(Perf!$AL57,DB!$A$2:$A$62,0),MATCH(Perf!AS$1,DB!$B$1:$AB$1,0))</f>
        <v>#REF!</v>
      </c>
      <c r="AT57" s="149" t="e">
        <f>INDEX(DB!$B$2:$AB$62,MATCH(Perf!$AL57,DB!$A$2:$A$62,0),MATCH(Perf!AT$1,DB!$B$1:$AB$1,0))</f>
        <v>#REF!</v>
      </c>
      <c r="AU57" s="149" t="e">
        <f>INDEX(DB!$B$2:$AB$62,MATCH(Perf!$AL57,DB!$A$2:$A$62,0),MATCH(Perf!AU$1,DB!$B$1:$AB$1,0))</f>
        <v>#REF!</v>
      </c>
      <c r="AV57" s="149" t="e">
        <f>INDEX(DB!$B$2:$AB$62,MATCH(Perf!$AL57,DB!$A$2:$A$62,0),MATCH(Perf!AV$1,DB!$B$1:$AB$1,0))</f>
        <v>#REF!</v>
      </c>
      <c r="AW57" s="149" t="e">
        <f>INDEX(DB!$B$2:$AB$62,MATCH(Perf!$AL57,DB!$A$2:$A$62,0),MATCH(Perf!AW$1,DB!$B$1:$AB$1,0))</f>
        <v>#REF!</v>
      </c>
      <c r="AX57" s="149" t="e">
        <f>INDEX(DB!$B$2:$AB$62,MATCH(Perf!$AL57,DB!$A$2:$A$62,0),MATCH(Perf!AX$1,DB!$B$1:$AB$1,0))</f>
        <v>#REF!</v>
      </c>
      <c r="AY57" s="149" t="e">
        <f>INDEX(DB!$B$2:$AB$62,MATCH(Perf!$AL57,DB!$A$2:$A$62,0),MATCH(Perf!AY$1,DB!$B$1:$AB$1,0))</f>
        <v>#REF!</v>
      </c>
      <c r="AZ57" s="149" t="e">
        <f>INDEX(DB!$B$2:$AB$62,MATCH(Perf!$AL57,DB!$A$2:$A$62,0),MATCH(Perf!AZ$1,DB!$B$1:$AB$1,0))</f>
        <v>#REF!</v>
      </c>
      <c r="BA57" s="149" t="e">
        <f>INDEX(DB!$B$2:$AB$62,MATCH(Perf!$AL57,DB!$A$2:$A$62,0),MATCH(Perf!BA$1,DB!$B$1:$AB$1,0))</f>
        <v>#REF!</v>
      </c>
      <c r="BB57" s="149" t="e">
        <f>INDEX(DB!$B$2:$AB$62,MATCH(Perf!$AL57,DB!$A$2:$A$62,0),MATCH(Perf!BB$1,DB!$B$1:$AB$1,0))</f>
        <v>#REF!</v>
      </c>
      <c r="BC57" s="149" t="e">
        <f>INDEX(DB!$B$2:$AB$62,MATCH(Perf!$AL57,DB!$A$2:$A$62,0),MATCH(Perf!BC$1,DB!$B$1:$AB$1,0))</f>
        <v>#REF!</v>
      </c>
      <c r="BD57" s="149" t="e">
        <f>INDEX(DB!$B$2:$AB$62,MATCH(Perf!$AL57,DB!$A$2:$A$62,0),MATCH(Perf!BD$1,DB!$B$1:$AB$1,0))</f>
        <v>#REF!</v>
      </c>
      <c r="BE57" s="149" t="e">
        <f>INDEX(DB!$B$2:$AB$62,MATCH(Perf!$AL57,DB!$A$2:$A$62,0),MATCH(Perf!BE$1,DB!$B$1:$AB$1,0))</f>
        <v>#REF!</v>
      </c>
      <c r="BF57" s="149" t="e">
        <f>INDEX(DB!$B$2:$AB$62,MATCH(Perf!$AL57,DB!$A$2:$A$62,0),MATCH(Perf!BF$1,DB!$B$1:$AB$1,0))</f>
        <v>#REF!</v>
      </c>
      <c r="BG57" s="149" t="e">
        <f>INDEX(DB!$B$2:$AB$62,MATCH(Perf!$AL57,DB!$A$2:$A$62,0),MATCH(Perf!BG$1,DB!$B$1:$AB$1,0))</f>
        <v>#REF!</v>
      </c>
      <c r="BH57" s="149" t="e">
        <f>INDEX(DB!$B$2:$AB$62,MATCH(Perf!$AL57,DB!$A$2:$A$62,0),MATCH(Perf!BH$1,DB!$B$1:$AB$1,0))</f>
        <v>#REF!</v>
      </c>
      <c r="BI57" s="149" t="e">
        <f>INDEX(DB!$B$2:$AB$62,MATCH(Perf!$AL57,DB!$A$2:$A$62,0),MATCH(Perf!BI$1,DB!$B$1:$AB$1,0))</f>
        <v>#REF!</v>
      </c>
      <c r="BJ57" s="149" t="e">
        <f>INDEX(DB!$B$2:$AB$62,MATCH(Perf!$AL57,DB!$A$2:$A$62,0),MATCH(Perf!BJ$1,DB!$B$1:$AB$1,0))</f>
        <v>#REF!</v>
      </c>
      <c r="BK57" s="149" t="e">
        <f>INDEX(DB!$B$2:$AB$62,MATCH(Perf!$AL57,DB!$A$2:$A$62,0),MATCH(Perf!BK$1,DB!$B$1:$AB$1,0))</f>
        <v>#REF!</v>
      </c>
      <c r="BL57" s="149" t="e">
        <f>INDEX(DB!$B$2:$AB$62,MATCH(Perf!$AL57,DB!$A$2:$A$62,0),MATCH(Perf!BL$1,DB!$B$1:$AB$1,0))</f>
        <v>#REF!</v>
      </c>
      <c r="BM57" s="149" t="e">
        <f>INDEX(DB!$B$2:$AB$62,MATCH(Perf!$AL57,DB!$A$2:$A$62,0),MATCH(Perf!BM$1,DB!$B$1:$AB$1,0))</f>
        <v>#REF!</v>
      </c>
    </row>
    <row r="58" spans="1:65" x14ac:dyDescent="0.15">
      <c r="A58" s="151">
        <f t="shared" si="8"/>
        <v>45808</v>
      </c>
      <c r="B58" s="148" t="e" cm="1">
        <f t="array" ref="B58">SUMPRODUCT(TRANSPOSE(#REF!),Perf!$AM58:$BN58)/100</f>
        <v>#REF!</v>
      </c>
      <c r="C58" s="148" t="e" cm="1">
        <f t="array" ref="C58">SUMPRODUCT(TRANSPOSE(#REF!),Perf!$AM58:$BN58)/100</f>
        <v>#REF!</v>
      </c>
      <c r="D58" s="148" t="e" cm="1">
        <f t="array" ref="D58">SUMPRODUCT(TRANSPOSE(#REF!),Perf!$AM58:$BN58)/100</f>
        <v>#REF!</v>
      </c>
      <c r="E58" s="148" t="e" cm="1">
        <f t="array" ref="E58">SUMPRODUCT(TRANSPOSE(#REF!),Perf!$AM58:$BN58)/100</f>
        <v>#REF!</v>
      </c>
      <c r="F58" s="148" t="e" cm="1">
        <f t="array" ref="F58">SUMPRODUCT(TRANSPOSE(#REF!),Perf!$AM58:$BN58)/100</f>
        <v>#REF!</v>
      </c>
      <c r="G58" s="148" t="e">
        <f t="shared" si="9"/>
        <v>#REF!</v>
      </c>
      <c r="H58" s="148"/>
      <c r="I58" s="160">
        <f t="shared" si="33"/>
        <v>45777</v>
      </c>
      <c r="J58" s="148" t="e">
        <f t="shared" si="19"/>
        <v>#REF!</v>
      </c>
      <c r="K58" s="148" t="e">
        <f t="shared" si="20"/>
        <v>#REF!</v>
      </c>
      <c r="L58" s="148" t="e">
        <f t="shared" si="21"/>
        <v>#REF!</v>
      </c>
      <c r="M58" s="148" t="e">
        <f t="shared" si="22"/>
        <v>#REF!</v>
      </c>
      <c r="N58" s="148" t="e">
        <f t="shared" si="23"/>
        <v>#REF!</v>
      </c>
      <c r="O58" s="148" t="e">
        <f t="shared" si="24"/>
        <v>#REF!</v>
      </c>
      <c r="P58" s="148"/>
      <c r="Q58" s="160">
        <f t="shared" si="12"/>
        <v>45808</v>
      </c>
      <c r="R58" s="148" t="e">
        <f t="shared" si="13"/>
        <v>#REF!</v>
      </c>
      <c r="S58" s="148" t="e">
        <f t="shared" si="14"/>
        <v>#REF!</v>
      </c>
      <c r="T58" s="148" t="e">
        <f t="shared" si="15"/>
        <v>#REF!</v>
      </c>
      <c r="U58" s="148" t="e">
        <f t="shared" si="16"/>
        <v>#REF!</v>
      </c>
      <c r="V58" s="148" t="e">
        <f t="shared" si="17"/>
        <v>#REF!</v>
      </c>
      <c r="W58" s="148"/>
      <c r="X58" s="160">
        <f t="shared" si="34"/>
        <v>45808</v>
      </c>
      <c r="Y58" s="169" t="e" cm="1">
        <f t="array" ref="Y58">AnnualReturn(R23:R58)</f>
        <v>#VALUE!</v>
      </c>
      <c r="Z58" s="169" t="e" cm="1">
        <f t="array" ref="Z58">AnnualReturn(S23:S58)</f>
        <v>#VALUE!</v>
      </c>
      <c r="AA58" s="169" t="e" cm="1">
        <f t="array" ref="AA58">AnnualReturn(T23:T58)</f>
        <v>#VALUE!</v>
      </c>
      <c r="AB58" s="169" t="e" cm="1">
        <f t="array" ref="AB58">AnnualReturn(U23:U58)</f>
        <v>#VALUE!</v>
      </c>
      <c r="AC58" s="169" t="e" cm="1">
        <f t="array" ref="AC58">AnnualReturn(V23:V58)</f>
        <v>#VALUE!</v>
      </c>
      <c r="AD58" s="148"/>
      <c r="AE58" s="160">
        <f t="shared" si="35"/>
        <v>45808</v>
      </c>
      <c r="AF58" s="170" t="e">
        <f t="shared" si="28"/>
        <v>#REF!</v>
      </c>
      <c r="AG58" s="170" t="e">
        <f t="shared" si="29"/>
        <v>#REF!</v>
      </c>
      <c r="AH58" s="170" t="e">
        <f t="shared" si="30"/>
        <v>#REF!</v>
      </c>
      <c r="AI58" s="170" t="e">
        <f t="shared" si="31"/>
        <v>#REF!</v>
      </c>
      <c r="AJ58" s="170" t="e">
        <f t="shared" si="32"/>
        <v>#REF!</v>
      </c>
      <c r="AL58" s="151">
        <f>DB!A58</f>
        <v>45808</v>
      </c>
      <c r="AM58" s="149" t="e">
        <f>INDEX(DB!$B$2:$AB$62,MATCH(Perf!$AL58,DB!$A$2:$A$62,0),MATCH(Perf!AM$1,DB!$B$1:$AB$1,0))</f>
        <v>#REF!</v>
      </c>
      <c r="AN58" s="149" t="e">
        <f>INDEX(DB!$B$2:$AB$62,MATCH(Perf!$AL58,DB!$A$2:$A$62,0),MATCH(Perf!AN$1,DB!$B$1:$AB$1,0))</f>
        <v>#REF!</v>
      </c>
      <c r="AO58" s="149" t="e">
        <f>INDEX(DB!$B$2:$AB$62,MATCH(Perf!$AL58,DB!$A$2:$A$62,0),MATCH(Perf!AO$1,DB!$B$1:$AB$1,0))</f>
        <v>#REF!</v>
      </c>
      <c r="AP58" s="149" t="e">
        <f>INDEX(DB!$B$2:$AB$62,MATCH(Perf!$AL58,DB!$A$2:$A$62,0),MATCH(Perf!AP$1,DB!$B$1:$AB$1,0))</f>
        <v>#REF!</v>
      </c>
      <c r="AQ58" s="149" t="e">
        <f>INDEX(DB!$B$2:$AB$62,MATCH(Perf!$AL58,DB!$A$2:$A$62,0),MATCH(Perf!AQ$1,DB!$B$1:$AB$1,0))</f>
        <v>#REF!</v>
      </c>
      <c r="AR58" s="149" t="e">
        <f>INDEX(DB!$B$2:$AB$62,MATCH(Perf!$AL58,DB!$A$2:$A$62,0),MATCH(Perf!AR$1,DB!$B$1:$AB$1,0))</f>
        <v>#REF!</v>
      </c>
      <c r="AS58" s="149" t="e">
        <f>INDEX(DB!$B$2:$AB$62,MATCH(Perf!$AL58,DB!$A$2:$A$62,0),MATCH(Perf!AS$1,DB!$B$1:$AB$1,0))</f>
        <v>#REF!</v>
      </c>
      <c r="AT58" s="149" t="e">
        <f>INDEX(DB!$B$2:$AB$62,MATCH(Perf!$AL58,DB!$A$2:$A$62,0),MATCH(Perf!AT$1,DB!$B$1:$AB$1,0))</f>
        <v>#REF!</v>
      </c>
      <c r="AU58" s="149" t="e">
        <f>INDEX(DB!$B$2:$AB$62,MATCH(Perf!$AL58,DB!$A$2:$A$62,0),MATCH(Perf!AU$1,DB!$B$1:$AB$1,0))</f>
        <v>#REF!</v>
      </c>
      <c r="AV58" s="149" t="e">
        <f>INDEX(DB!$B$2:$AB$62,MATCH(Perf!$AL58,DB!$A$2:$A$62,0),MATCH(Perf!AV$1,DB!$B$1:$AB$1,0))</f>
        <v>#REF!</v>
      </c>
      <c r="AW58" s="149" t="e">
        <f>INDEX(DB!$B$2:$AB$62,MATCH(Perf!$AL58,DB!$A$2:$A$62,0),MATCH(Perf!AW$1,DB!$B$1:$AB$1,0))</f>
        <v>#REF!</v>
      </c>
      <c r="AX58" s="149" t="e">
        <f>INDEX(DB!$B$2:$AB$62,MATCH(Perf!$AL58,DB!$A$2:$A$62,0),MATCH(Perf!AX$1,DB!$B$1:$AB$1,0))</f>
        <v>#REF!</v>
      </c>
      <c r="AY58" s="149" t="e">
        <f>INDEX(DB!$B$2:$AB$62,MATCH(Perf!$AL58,DB!$A$2:$A$62,0),MATCH(Perf!AY$1,DB!$B$1:$AB$1,0))</f>
        <v>#REF!</v>
      </c>
      <c r="AZ58" s="149" t="e">
        <f>INDEX(DB!$B$2:$AB$62,MATCH(Perf!$AL58,DB!$A$2:$A$62,0),MATCH(Perf!AZ$1,DB!$B$1:$AB$1,0))</f>
        <v>#REF!</v>
      </c>
      <c r="BA58" s="149" t="e">
        <f>INDEX(DB!$B$2:$AB$62,MATCH(Perf!$AL58,DB!$A$2:$A$62,0),MATCH(Perf!BA$1,DB!$B$1:$AB$1,0))</f>
        <v>#REF!</v>
      </c>
      <c r="BB58" s="149" t="e">
        <f>INDEX(DB!$B$2:$AB$62,MATCH(Perf!$AL58,DB!$A$2:$A$62,0),MATCH(Perf!BB$1,DB!$B$1:$AB$1,0))</f>
        <v>#REF!</v>
      </c>
      <c r="BC58" s="149" t="e">
        <f>INDEX(DB!$B$2:$AB$62,MATCH(Perf!$AL58,DB!$A$2:$A$62,0),MATCH(Perf!BC$1,DB!$B$1:$AB$1,0))</f>
        <v>#REF!</v>
      </c>
      <c r="BD58" s="149" t="e">
        <f>INDEX(DB!$B$2:$AB$62,MATCH(Perf!$AL58,DB!$A$2:$A$62,0),MATCH(Perf!BD$1,DB!$B$1:$AB$1,0))</f>
        <v>#REF!</v>
      </c>
      <c r="BE58" s="149" t="e">
        <f>INDEX(DB!$B$2:$AB$62,MATCH(Perf!$AL58,DB!$A$2:$A$62,0),MATCH(Perf!BE$1,DB!$B$1:$AB$1,0))</f>
        <v>#REF!</v>
      </c>
      <c r="BF58" s="149" t="e">
        <f>INDEX(DB!$B$2:$AB$62,MATCH(Perf!$AL58,DB!$A$2:$A$62,0),MATCH(Perf!BF$1,DB!$B$1:$AB$1,0))</f>
        <v>#REF!</v>
      </c>
      <c r="BG58" s="149" t="e">
        <f>INDEX(DB!$B$2:$AB$62,MATCH(Perf!$AL58,DB!$A$2:$A$62,0),MATCH(Perf!BG$1,DB!$B$1:$AB$1,0))</f>
        <v>#REF!</v>
      </c>
      <c r="BH58" s="149" t="e">
        <f>INDEX(DB!$B$2:$AB$62,MATCH(Perf!$AL58,DB!$A$2:$A$62,0),MATCH(Perf!BH$1,DB!$B$1:$AB$1,0))</f>
        <v>#REF!</v>
      </c>
      <c r="BI58" s="149" t="e">
        <f>INDEX(DB!$B$2:$AB$62,MATCH(Perf!$AL58,DB!$A$2:$A$62,0),MATCH(Perf!BI$1,DB!$B$1:$AB$1,0))</f>
        <v>#REF!</v>
      </c>
      <c r="BJ58" s="149" t="e">
        <f>INDEX(DB!$B$2:$AB$62,MATCH(Perf!$AL58,DB!$A$2:$A$62,0),MATCH(Perf!BJ$1,DB!$B$1:$AB$1,0))</f>
        <v>#REF!</v>
      </c>
      <c r="BK58" s="149" t="e">
        <f>INDEX(DB!$B$2:$AB$62,MATCH(Perf!$AL58,DB!$A$2:$A$62,0),MATCH(Perf!BK$1,DB!$B$1:$AB$1,0))</f>
        <v>#REF!</v>
      </c>
      <c r="BL58" s="149" t="e">
        <f>INDEX(DB!$B$2:$AB$62,MATCH(Perf!$AL58,DB!$A$2:$A$62,0),MATCH(Perf!BL$1,DB!$B$1:$AB$1,0))</f>
        <v>#REF!</v>
      </c>
      <c r="BM58" s="149" t="e">
        <f>INDEX(DB!$B$2:$AB$62,MATCH(Perf!$AL58,DB!$A$2:$A$62,0),MATCH(Perf!BM$1,DB!$B$1:$AB$1,0))</f>
        <v>#REF!</v>
      </c>
    </row>
    <row r="59" spans="1:65" x14ac:dyDescent="0.15">
      <c r="A59" s="151">
        <f t="shared" si="8"/>
        <v>45838</v>
      </c>
      <c r="B59" s="148" t="e" cm="1">
        <f t="array" ref="B59">SUMPRODUCT(TRANSPOSE(#REF!),Perf!$AM59:$BN59)/100</f>
        <v>#REF!</v>
      </c>
      <c r="C59" s="148" t="e" cm="1">
        <f t="array" ref="C59">SUMPRODUCT(TRANSPOSE(#REF!),Perf!$AM59:$BN59)/100</f>
        <v>#REF!</v>
      </c>
      <c r="D59" s="148" t="e" cm="1">
        <f t="array" ref="D59">SUMPRODUCT(TRANSPOSE(#REF!),Perf!$AM59:$BN59)/100</f>
        <v>#REF!</v>
      </c>
      <c r="E59" s="148" t="e" cm="1">
        <f t="array" ref="E59">SUMPRODUCT(TRANSPOSE(#REF!),Perf!$AM59:$BN59)/100</f>
        <v>#REF!</v>
      </c>
      <c r="F59" s="148" t="e" cm="1">
        <f t="array" ref="F59">SUMPRODUCT(TRANSPOSE(#REF!),Perf!$AM59:$BN59)/100</f>
        <v>#REF!</v>
      </c>
      <c r="G59" s="148" t="e">
        <f t="shared" si="9"/>
        <v>#REF!</v>
      </c>
      <c r="H59" s="148"/>
      <c r="I59" s="160">
        <f t="shared" si="33"/>
        <v>45808</v>
      </c>
      <c r="J59" s="148" t="e">
        <f t="shared" si="19"/>
        <v>#REF!</v>
      </c>
      <c r="K59" s="148" t="e">
        <f t="shared" si="20"/>
        <v>#REF!</v>
      </c>
      <c r="L59" s="148" t="e">
        <f t="shared" si="21"/>
        <v>#REF!</v>
      </c>
      <c r="M59" s="148" t="e">
        <f t="shared" si="22"/>
        <v>#REF!</v>
      </c>
      <c r="N59" s="148" t="e">
        <f t="shared" si="23"/>
        <v>#REF!</v>
      </c>
      <c r="O59" s="148" t="e">
        <f t="shared" si="24"/>
        <v>#REF!</v>
      </c>
      <c r="P59" s="148"/>
      <c r="Q59" s="160">
        <f t="shared" si="12"/>
        <v>45838</v>
      </c>
      <c r="R59" s="148" t="e">
        <f t="shared" si="13"/>
        <v>#REF!</v>
      </c>
      <c r="S59" s="148" t="e">
        <f t="shared" si="14"/>
        <v>#REF!</v>
      </c>
      <c r="T59" s="148" t="e">
        <f t="shared" si="15"/>
        <v>#REF!</v>
      </c>
      <c r="U59" s="148" t="e">
        <f t="shared" si="16"/>
        <v>#REF!</v>
      </c>
      <c r="V59" s="148" t="e">
        <f t="shared" si="17"/>
        <v>#REF!</v>
      </c>
      <c r="W59" s="148"/>
      <c r="X59" s="160">
        <f t="shared" si="34"/>
        <v>45838</v>
      </c>
      <c r="Y59" s="169" t="e" cm="1">
        <f t="array" ref="Y59">AnnualReturn(R24:R59)</f>
        <v>#VALUE!</v>
      </c>
      <c r="Z59" s="169" t="e" cm="1">
        <f t="array" ref="Z59">AnnualReturn(S24:S59)</f>
        <v>#VALUE!</v>
      </c>
      <c r="AA59" s="169" t="e" cm="1">
        <f t="array" ref="AA59">AnnualReturn(T24:T59)</f>
        <v>#VALUE!</v>
      </c>
      <c r="AB59" s="169" t="e" cm="1">
        <f t="array" ref="AB59">AnnualReturn(U24:U59)</f>
        <v>#VALUE!</v>
      </c>
      <c r="AC59" s="169" t="e" cm="1">
        <f t="array" ref="AC59">AnnualReturn(V24:V59)</f>
        <v>#VALUE!</v>
      </c>
      <c r="AD59" s="148"/>
      <c r="AE59" s="160">
        <f t="shared" si="35"/>
        <v>45838</v>
      </c>
      <c r="AF59" s="170" t="e">
        <f t="shared" si="28"/>
        <v>#REF!</v>
      </c>
      <c r="AG59" s="170" t="e">
        <f t="shared" si="29"/>
        <v>#REF!</v>
      </c>
      <c r="AH59" s="170" t="e">
        <f t="shared" si="30"/>
        <v>#REF!</v>
      </c>
      <c r="AI59" s="170" t="e">
        <f t="shared" si="31"/>
        <v>#REF!</v>
      </c>
      <c r="AJ59" s="170" t="e">
        <f t="shared" si="32"/>
        <v>#REF!</v>
      </c>
      <c r="AL59" s="151">
        <f>DB!A59</f>
        <v>45838</v>
      </c>
      <c r="AM59" s="149" t="e">
        <f>INDEX(DB!$B$2:$AB$62,MATCH(Perf!$AL59,DB!$A$2:$A$62,0),MATCH(Perf!AM$1,DB!$B$1:$AB$1,0))</f>
        <v>#REF!</v>
      </c>
      <c r="AN59" s="149" t="e">
        <f>INDEX(DB!$B$2:$AB$62,MATCH(Perf!$AL59,DB!$A$2:$A$62,0),MATCH(Perf!AN$1,DB!$B$1:$AB$1,0))</f>
        <v>#REF!</v>
      </c>
      <c r="AO59" s="149" t="e">
        <f>INDEX(DB!$B$2:$AB$62,MATCH(Perf!$AL59,DB!$A$2:$A$62,0),MATCH(Perf!AO$1,DB!$B$1:$AB$1,0))</f>
        <v>#REF!</v>
      </c>
      <c r="AP59" s="149" t="e">
        <f>INDEX(DB!$B$2:$AB$62,MATCH(Perf!$AL59,DB!$A$2:$A$62,0),MATCH(Perf!AP$1,DB!$B$1:$AB$1,0))</f>
        <v>#REF!</v>
      </c>
      <c r="AQ59" s="149" t="e">
        <f>INDEX(DB!$B$2:$AB$62,MATCH(Perf!$AL59,DB!$A$2:$A$62,0),MATCH(Perf!AQ$1,DB!$B$1:$AB$1,0))</f>
        <v>#REF!</v>
      </c>
      <c r="AR59" s="149" t="e">
        <f>INDEX(DB!$B$2:$AB$62,MATCH(Perf!$AL59,DB!$A$2:$A$62,0),MATCH(Perf!AR$1,DB!$B$1:$AB$1,0))</f>
        <v>#REF!</v>
      </c>
      <c r="AS59" s="149" t="e">
        <f>INDEX(DB!$B$2:$AB$62,MATCH(Perf!$AL59,DB!$A$2:$A$62,0),MATCH(Perf!AS$1,DB!$B$1:$AB$1,0))</f>
        <v>#REF!</v>
      </c>
      <c r="AT59" s="149" t="e">
        <f>INDEX(DB!$B$2:$AB$62,MATCH(Perf!$AL59,DB!$A$2:$A$62,0),MATCH(Perf!AT$1,DB!$B$1:$AB$1,0))</f>
        <v>#REF!</v>
      </c>
      <c r="AU59" s="149" t="e">
        <f>INDEX(DB!$B$2:$AB$62,MATCH(Perf!$AL59,DB!$A$2:$A$62,0),MATCH(Perf!AU$1,DB!$B$1:$AB$1,0))</f>
        <v>#REF!</v>
      </c>
      <c r="AV59" s="149" t="e">
        <f>INDEX(DB!$B$2:$AB$62,MATCH(Perf!$AL59,DB!$A$2:$A$62,0),MATCH(Perf!AV$1,DB!$B$1:$AB$1,0))</f>
        <v>#REF!</v>
      </c>
      <c r="AW59" s="149" t="e">
        <f>INDEX(DB!$B$2:$AB$62,MATCH(Perf!$AL59,DB!$A$2:$A$62,0),MATCH(Perf!AW$1,DB!$B$1:$AB$1,0))</f>
        <v>#REF!</v>
      </c>
      <c r="AX59" s="149" t="e">
        <f>INDEX(DB!$B$2:$AB$62,MATCH(Perf!$AL59,DB!$A$2:$A$62,0),MATCH(Perf!AX$1,DB!$B$1:$AB$1,0))</f>
        <v>#REF!</v>
      </c>
      <c r="AY59" s="149" t="e">
        <f>INDEX(DB!$B$2:$AB$62,MATCH(Perf!$AL59,DB!$A$2:$A$62,0),MATCH(Perf!AY$1,DB!$B$1:$AB$1,0))</f>
        <v>#REF!</v>
      </c>
      <c r="AZ59" s="149" t="e">
        <f>INDEX(DB!$B$2:$AB$62,MATCH(Perf!$AL59,DB!$A$2:$A$62,0),MATCH(Perf!AZ$1,DB!$B$1:$AB$1,0))</f>
        <v>#REF!</v>
      </c>
      <c r="BA59" s="149" t="e">
        <f>INDEX(DB!$B$2:$AB$62,MATCH(Perf!$AL59,DB!$A$2:$A$62,0),MATCH(Perf!BA$1,DB!$B$1:$AB$1,0))</f>
        <v>#REF!</v>
      </c>
      <c r="BB59" s="149" t="e">
        <f>INDEX(DB!$B$2:$AB$62,MATCH(Perf!$AL59,DB!$A$2:$A$62,0),MATCH(Perf!BB$1,DB!$B$1:$AB$1,0))</f>
        <v>#REF!</v>
      </c>
      <c r="BC59" s="149" t="e">
        <f>INDEX(DB!$B$2:$AB$62,MATCH(Perf!$AL59,DB!$A$2:$A$62,0),MATCH(Perf!BC$1,DB!$B$1:$AB$1,0))</f>
        <v>#REF!</v>
      </c>
      <c r="BD59" s="149" t="e">
        <f>INDEX(DB!$B$2:$AB$62,MATCH(Perf!$AL59,DB!$A$2:$A$62,0),MATCH(Perf!BD$1,DB!$B$1:$AB$1,0))</f>
        <v>#REF!</v>
      </c>
      <c r="BE59" s="149" t="e">
        <f>INDEX(DB!$B$2:$AB$62,MATCH(Perf!$AL59,DB!$A$2:$A$62,0),MATCH(Perf!BE$1,DB!$B$1:$AB$1,0))</f>
        <v>#REF!</v>
      </c>
      <c r="BF59" s="149" t="e">
        <f>INDEX(DB!$B$2:$AB$62,MATCH(Perf!$AL59,DB!$A$2:$A$62,0),MATCH(Perf!BF$1,DB!$B$1:$AB$1,0))</f>
        <v>#REF!</v>
      </c>
      <c r="BG59" s="149" t="e">
        <f>INDEX(DB!$B$2:$AB$62,MATCH(Perf!$AL59,DB!$A$2:$A$62,0),MATCH(Perf!BG$1,DB!$B$1:$AB$1,0))</f>
        <v>#REF!</v>
      </c>
      <c r="BH59" s="149" t="e">
        <f>INDEX(DB!$B$2:$AB$62,MATCH(Perf!$AL59,DB!$A$2:$A$62,0),MATCH(Perf!BH$1,DB!$B$1:$AB$1,0))</f>
        <v>#REF!</v>
      </c>
      <c r="BI59" s="149" t="e">
        <f>INDEX(DB!$B$2:$AB$62,MATCH(Perf!$AL59,DB!$A$2:$A$62,0),MATCH(Perf!BI$1,DB!$B$1:$AB$1,0))</f>
        <v>#REF!</v>
      </c>
      <c r="BJ59" s="149" t="e">
        <f>INDEX(DB!$B$2:$AB$62,MATCH(Perf!$AL59,DB!$A$2:$A$62,0),MATCH(Perf!BJ$1,DB!$B$1:$AB$1,0))</f>
        <v>#REF!</v>
      </c>
      <c r="BK59" s="149" t="e">
        <f>INDEX(DB!$B$2:$AB$62,MATCH(Perf!$AL59,DB!$A$2:$A$62,0),MATCH(Perf!BK$1,DB!$B$1:$AB$1,0))</f>
        <v>#REF!</v>
      </c>
      <c r="BL59" s="149" t="e">
        <f>INDEX(DB!$B$2:$AB$62,MATCH(Perf!$AL59,DB!$A$2:$A$62,0),MATCH(Perf!BL$1,DB!$B$1:$AB$1,0))</f>
        <v>#REF!</v>
      </c>
      <c r="BM59" s="149" t="e">
        <f>INDEX(DB!$B$2:$AB$62,MATCH(Perf!$AL59,DB!$A$2:$A$62,0),MATCH(Perf!BM$1,DB!$B$1:$AB$1,0))</f>
        <v>#REF!</v>
      </c>
    </row>
    <row r="60" spans="1:65" x14ac:dyDescent="0.15">
      <c r="A60" s="151">
        <f t="shared" si="8"/>
        <v>45869</v>
      </c>
      <c r="B60" s="148" t="e" cm="1">
        <f t="array" ref="B60">SUMPRODUCT(TRANSPOSE(#REF!),Perf!$AM60:$BN60)/100</f>
        <v>#REF!</v>
      </c>
      <c r="C60" s="148" t="e" cm="1">
        <f t="array" ref="C60">SUMPRODUCT(TRANSPOSE(#REF!),Perf!$AM60:$BN60)/100</f>
        <v>#REF!</v>
      </c>
      <c r="D60" s="148" t="e" cm="1">
        <f t="array" ref="D60">SUMPRODUCT(TRANSPOSE(#REF!),Perf!$AM60:$BN60)/100</f>
        <v>#REF!</v>
      </c>
      <c r="E60" s="148" t="e" cm="1">
        <f t="array" ref="E60">SUMPRODUCT(TRANSPOSE(#REF!),Perf!$AM60:$BN60)/100</f>
        <v>#REF!</v>
      </c>
      <c r="F60" s="148" t="e" cm="1">
        <f t="array" ref="F60">SUMPRODUCT(TRANSPOSE(#REF!),Perf!$AM60:$BN60)/100</f>
        <v>#REF!</v>
      </c>
      <c r="G60" s="148" t="e">
        <f t="shared" si="9"/>
        <v>#REF!</v>
      </c>
      <c r="H60" s="148"/>
      <c r="I60" s="160">
        <f t="shared" si="33"/>
        <v>45838</v>
      </c>
      <c r="J60" s="148" t="e">
        <f t="shared" si="19"/>
        <v>#REF!</v>
      </c>
      <c r="K60" s="148" t="e">
        <f t="shared" si="20"/>
        <v>#REF!</v>
      </c>
      <c r="L60" s="148" t="e">
        <f t="shared" si="21"/>
        <v>#REF!</v>
      </c>
      <c r="M60" s="148" t="e">
        <f t="shared" si="22"/>
        <v>#REF!</v>
      </c>
      <c r="N60" s="148" t="e">
        <f t="shared" si="23"/>
        <v>#REF!</v>
      </c>
      <c r="O60" s="148" t="e">
        <f t="shared" si="24"/>
        <v>#REF!</v>
      </c>
      <c r="P60" s="148"/>
      <c r="Q60" s="160">
        <f t="shared" si="12"/>
        <v>45869</v>
      </c>
      <c r="R60" s="148" t="e">
        <f t="shared" si="13"/>
        <v>#REF!</v>
      </c>
      <c r="S60" s="148" t="e">
        <f t="shared" si="14"/>
        <v>#REF!</v>
      </c>
      <c r="T60" s="148" t="e">
        <f t="shared" si="15"/>
        <v>#REF!</v>
      </c>
      <c r="U60" s="148" t="e">
        <f t="shared" si="16"/>
        <v>#REF!</v>
      </c>
      <c r="V60" s="148" t="e">
        <f t="shared" si="17"/>
        <v>#REF!</v>
      </c>
      <c r="W60" s="148"/>
      <c r="X60" s="160">
        <f t="shared" si="34"/>
        <v>45869</v>
      </c>
      <c r="Y60" s="169" t="e" cm="1">
        <f t="array" ref="Y60">AnnualReturn(R25:R60)</f>
        <v>#VALUE!</v>
      </c>
      <c r="Z60" s="169" t="e" cm="1">
        <f t="array" ref="Z60">AnnualReturn(S25:S60)</f>
        <v>#VALUE!</v>
      </c>
      <c r="AA60" s="169" t="e" cm="1">
        <f t="array" ref="AA60">AnnualReturn(T25:T60)</f>
        <v>#VALUE!</v>
      </c>
      <c r="AB60" s="169" t="e" cm="1">
        <f t="array" ref="AB60">AnnualReturn(U25:U60)</f>
        <v>#VALUE!</v>
      </c>
      <c r="AC60" s="169" t="e" cm="1">
        <f t="array" ref="AC60">AnnualReturn(V25:V60)</f>
        <v>#VALUE!</v>
      </c>
      <c r="AD60" s="148"/>
      <c r="AE60" s="160">
        <f t="shared" si="35"/>
        <v>45869</v>
      </c>
      <c r="AF60" s="170" t="e">
        <f t="shared" si="28"/>
        <v>#REF!</v>
      </c>
      <c r="AG60" s="170" t="e">
        <f t="shared" si="29"/>
        <v>#REF!</v>
      </c>
      <c r="AH60" s="170" t="e">
        <f t="shared" si="30"/>
        <v>#REF!</v>
      </c>
      <c r="AI60" s="170" t="e">
        <f t="shared" si="31"/>
        <v>#REF!</v>
      </c>
      <c r="AJ60" s="170" t="e">
        <f t="shared" si="32"/>
        <v>#REF!</v>
      </c>
      <c r="AL60" s="151">
        <f>DB!A60</f>
        <v>45869</v>
      </c>
      <c r="AM60" s="149" t="e">
        <f>INDEX(DB!$B$2:$AB$62,MATCH(Perf!$AL60,DB!$A$2:$A$62,0),MATCH(Perf!AM$1,DB!$B$1:$AB$1,0))</f>
        <v>#REF!</v>
      </c>
      <c r="AN60" s="149" t="e">
        <f>INDEX(DB!$B$2:$AB$62,MATCH(Perf!$AL60,DB!$A$2:$A$62,0),MATCH(Perf!AN$1,DB!$B$1:$AB$1,0))</f>
        <v>#REF!</v>
      </c>
      <c r="AO60" s="149" t="e">
        <f>INDEX(DB!$B$2:$AB$62,MATCH(Perf!$AL60,DB!$A$2:$A$62,0),MATCH(Perf!AO$1,DB!$B$1:$AB$1,0))</f>
        <v>#REF!</v>
      </c>
      <c r="AP60" s="149" t="e">
        <f>INDEX(DB!$B$2:$AB$62,MATCH(Perf!$AL60,DB!$A$2:$A$62,0),MATCH(Perf!AP$1,DB!$B$1:$AB$1,0))</f>
        <v>#REF!</v>
      </c>
      <c r="AQ60" s="149" t="e">
        <f>INDEX(DB!$B$2:$AB$62,MATCH(Perf!$AL60,DB!$A$2:$A$62,0),MATCH(Perf!AQ$1,DB!$B$1:$AB$1,0))</f>
        <v>#REF!</v>
      </c>
      <c r="AR60" s="149" t="e">
        <f>INDEX(DB!$B$2:$AB$62,MATCH(Perf!$AL60,DB!$A$2:$A$62,0),MATCH(Perf!AR$1,DB!$B$1:$AB$1,0))</f>
        <v>#REF!</v>
      </c>
      <c r="AS60" s="149" t="e">
        <f>INDEX(DB!$B$2:$AB$62,MATCH(Perf!$AL60,DB!$A$2:$A$62,0),MATCH(Perf!AS$1,DB!$B$1:$AB$1,0))</f>
        <v>#REF!</v>
      </c>
      <c r="AT60" s="149" t="e">
        <f>INDEX(DB!$B$2:$AB$62,MATCH(Perf!$AL60,DB!$A$2:$A$62,0),MATCH(Perf!AT$1,DB!$B$1:$AB$1,0))</f>
        <v>#REF!</v>
      </c>
      <c r="AU60" s="149" t="e">
        <f>INDEX(DB!$B$2:$AB$62,MATCH(Perf!$AL60,DB!$A$2:$A$62,0),MATCH(Perf!AU$1,DB!$B$1:$AB$1,0))</f>
        <v>#REF!</v>
      </c>
      <c r="AV60" s="149" t="e">
        <f>INDEX(DB!$B$2:$AB$62,MATCH(Perf!$AL60,DB!$A$2:$A$62,0),MATCH(Perf!AV$1,DB!$B$1:$AB$1,0))</f>
        <v>#REF!</v>
      </c>
      <c r="AW60" s="149" t="e">
        <f>INDEX(DB!$B$2:$AB$62,MATCH(Perf!$AL60,DB!$A$2:$A$62,0),MATCH(Perf!AW$1,DB!$B$1:$AB$1,0))</f>
        <v>#REF!</v>
      </c>
      <c r="AX60" s="149" t="e">
        <f>INDEX(DB!$B$2:$AB$62,MATCH(Perf!$AL60,DB!$A$2:$A$62,0),MATCH(Perf!AX$1,DB!$B$1:$AB$1,0))</f>
        <v>#REF!</v>
      </c>
      <c r="AY60" s="149" t="e">
        <f>INDEX(DB!$B$2:$AB$62,MATCH(Perf!$AL60,DB!$A$2:$A$62,0),MATCH(Perf!AY$1,DB!$B$1:$AB$1,0))</f>
        <v>#REF!</v>
      </c>
      <c r="AZ60" s="149" t="e">
        <f>INDEX(DB!$B$2:$AB$62,MATCH(Perf!$AL60,DB!$A$2:$A$62,0),MATCH(Perf!AZ$1,DB!$B$1:$AB$1,0))</f>
        <v>#REF!</v>
      </c>
      <c r="BA60" s="149" t="e">
        <f>INDEX(DB!$B$2:$AB$62,MATCH(Perf!$AL60,DB!$A$2:$A$62,0),MATCH(Perf!BA$1,DB!$B$1:$AB$1,0))</f>
        <v>#REF!</v>
      </c>
      <c r="BB60" s="149" t="e">
        <f>INDEX(DB!$B$2:$AB$62,MATCH(Perf!$AL60,DB!$A$2:$A$62,0),MATCH(Perf!BB$1,DB!$B$1:$AB$1,0))</f>
        <v>#REF!</v>
      </c>
      <c r="BC60" s="149" t="e">
        <f>INDEX(DB!$B$2:$AB$62,MATCH(Perf!$AL60,DB!$A$2:$A$62,0),MATCH(Perf!BC$1,DB!$B$1:$AB$1,0))</f>
        <v>#REF!</v>
      </c>
      <c r="BD60" s="149" t="e">
        <f>INDEX(DB!$B$2:$AB$62,MATCH(Perf!$AL60,DB!$A$2:$A$62,0),MATCH(Perf!BD$1,DB!$B$1:$AB$1,0))</f>
        <v>#REF!</v>
      </c>
      <c r="BE60" s="149" t="e">
        <f>INDEX(DB!$B$2:$AB$62,MATCH(Perf!$AL60,DB!$A$2:$A$62,0),MATCH(Perf!BE$1,DB!$B$1:$AB$1,0))</f>
        <v>#REF!</v>
      </c>
      <c r="BF60" s="149" t="e">
        <f>INDEX(DB!$B$2:$AB$62,MATCH(Perf!$AL60,DB!$A$2:$A$62,0),MATCH(Perf!BF$1,DB!$B$1:$AB$1,0))</f>
        <v>#REF!</v>
      </c>
      <c r="BG60" s="149" t="e">
        <f>INDEX(DB!$B$2:$AB$62,MATCH(Perf!$AL60,DB!$A$2:$A$62,0),MATCH(Perf!BG$1,DB!$B$1:$AB$1,0))</f>
        <v>#REF!</v>
      </c>
      <c r="BH60" s="149" t="e">
        <f>INDEX(DB!$B$2:$AB$62,MATCH(Perf!$AL60,DB!$A$2:$A$62,0),MATCH(Perf!BH$1,DB!$B$1:$AB$1,0))</f>
        <v>#REF!</v>
      </c>
      <c r="BI60" s="149" t="e">
        <f>INDEX(DB!$B$2:$AB$62,MATCH(Perf!$AL60,DB!$A$2:$A$62,0),MATCH(Perf!BI$1,DB!$B$1:$AB$1,0))</f>
        <v>#REF!</v>
      </c>
      <c r="BJ60" s="149" t="e">
        <f>INDEX(DB!$B$2:$AB$62,MATCH(Perf!$AL60,DB!$A$2:$A$62,0),MATCH(Perf!BJ$1,DB!$B$1:$AB$1,0))</f>
        <v>#REF!</v>
      </c>
      <c r="BK60" s="149" t="e">
        <f>INDEX(DB!$B$2:$AB$62,MATCH(Perf!$AL60,DB!$A$2:$A$62,0),MATCH(Perf!BK$1,DB!$B$1:$AB$1,0))</f>
        <v>#REF!</v>
      </c>
      <c r="BL60" s="149" t="e">
        <f>INDEX(DB!$B$2:$AB$62,MATCH(Perf!$AL60,DB!$A$2:$A$62,0),MATCH(Perf!BL$1,DB!$B$1:$AB$1,0))</f>
        <v>#REF!</v>
      </c>
      <c r="BM60" s="149" t="e">
        <f>INDEX(DB!$B$2:$AB$62,MATCH(Perf!$AL60,DB!$A$2:$A$62,0),MATCH(Perf!BM$1,DB!$B$1:$AB$1,0))</f>
        <v>#REF!</v>
      </c>
    </row>
    <row r="61" spans="1:65" x14ac:dyDescent="0.15">
      <c r="A61" s="151">
        <f t="shared" si="8"/>
        <v>45900</v>
      </c>
      <c r="B61" s="148" t="e" cm="1">
        <f t="array" ref="B61">SUMPRODUCT(TRANSPOSE(#REF!),Perf!$AM61:$BN61)/100</f>
        <v>#REF!</v>
      </c>
      <c r="C61" s="148" t="e" cm="1">
        <f t="array" ref="C61">SUMPRODUCT(TRANSPOSE(#REF!),Perf!$AM61:$BN61)/100</f>
        <v>#REF!</v>
      </c>
      <c r="D61" s="148" t="e" cm="1">
        <f t="array" ref="D61">SUMPRODUCT(TRANSPOSE(#REF!),Perf!$AM61:$BN61)/100</f>
        <v>#REF!</v>
      </c>
      <c r="E61" s="148" t="e" cm="1">
        <f t="array" ref="E61">SUMPRODUCT(TRANSPOSE(#REF!),Perf!$AM61:$BN61)/100</f>
        <v>#REF!</v>
      </c>
      <c r="F61" s="148" t="e" cm="1">
        <f t="array" ref="F61">SUMPRODUCT(TRANSPOSE(#REF!),Perf!$AM61:$BN61)/100</f>
        <v>#REF!</v>
      </c>
      <c r="G61" s="148" t="e">
        <f t="shared" si="9"/>
        <v>#REF!</v>
      </c>
      <c r="H61" s="148"/>
      <c r="I61" s="160">
        <f t="shared" si="33"/>
        <v>45869</v>
      </c>
      <c r="J61" s="148" t="e">
        <f t="shared" si="19"/>
        <v>#REF!</v>
      </c>
      <c r="K61" s="148" t="e">
        <f t="shared" si="20"/>
        <v>#REF!</v>
      </c>
      <c r="L61" s="148" t="e">
        <f t="shared" si="21"/>
        <v>#REF!</v>
      </c>
      <c r="M61" s="148" t="e">
        <f t="shared" si="22"/>
        <v>#REF!</v>
      </c>
      <c r="N61" s="148" t="e">
        <f t="shared" si="23"/>
        <v>#REF!</v>
      </c>
      <c r="O61" s="148" t="e">
        <f t="shared" si="24"/>
        <v>#REF!</v>
      </c>
      <c r="P61" s="148"/>
      <c r="Q61" s="160">
        <f t="shared" si="12"/>
        <v>45900</v>
      </c>
      <c r="R61" s="148" t="e">
        <f t="shared" si="13"/>
        <v>#REF!</v>
      </c>
      <c r="S61" s="148" t="e">
        <f t="shared" si="14"/>
        <v>#REF!</v>
      </c>
      <c r="T61" s="148" t="e">
        <f t="shared" si="15"/>
        <v>#REF!</v>
      </c>
      <c r="U61" s="148" t="e">
        <f t="shared" si="16"/>
        <v>#REF!</v>
      </c>
      <c r="V61" s="148" t="e">
        <f t="shared" si="17"/>
        <v>#REF!</v>
      </c>
      <c r="W61" s="148"/>
      <c r="X61" s="160">
        <f t="shared" si="34"/>
        <v>45900</v>
      </c>
      <c r="Y61" s="169" t="e" cm="1">
        <f t="array" ref="Y61">AnnualReturn(R26:R61)</f>
        <v>#VALUE!</v>
      </c>
      <c r="Z61" s="169" t="e" cm="1">
        <f t="array" ref="Z61">AnnualReturn(S26:S61)</f>
        <v>#VALUE!</v>
      </c>
      <c r="AA61" s="169" t="e" cm="1">
        <f t="array" ref="AA61">AnnualReturn(T26:T61)</f>
        <v>#VALUE!</v>
      </c>
      <c r="AB61" s="169" t="e" cm="1">
        <f t="array" ref="AB61">AnnualReturn(U26:U61)</f>
        <v>#VALUE!</v>
      </c>
      <c r="AC61" s="169" t="e" cm="1">
        <f t="array" ref="AC61">AnnualReturn(V26:V61)</f>
        <v>#VALUE!</v>
      </c>
      <c r="AD61" s="148"/>
      <c r="AE61" s="160">
        <f t="shared" si="35"/>
        <v>45900</v>
      </c>
      <c r="AF61" s="170" t="e">
        <f t="shared" si="28"/>
        <v>#REF!</v>
      </c>
      <c r="AG61" s="170" t="e">
        <f t="shared" si="29"/>
        <v>#REF!</v>
      </c>
      <c r="AH61" s="170" t="e">
        <f t="shared" si="30"/>
        <v>#REF!</v>
      </c>
      <c r="AI61" s="170" t="e">
        <f t="shared" si="31"/>
        <v>#REF!</v>
      </c>
      <c r="AJ61" s="170" t="e">
        <f t="shared" si="32"/>
        <v>#REF!</v>
      </c>
      <c r="AL61" s="151">
        <f>DB!A61</f>
        <v>45900</v>
      </c>
      <c r="AM61" s="149" t="e">
        <f>INDEX(DB!$B$2:$AB$62,MATCH(Perf!$AL61,DB!$A$2:$A$62,0),MATCH(Perf!AM$1,DB!$B$1:$AB$1,0))</f>
        <v>#REF!</v>
      </c>
      <c r="AN61" s="149" t="e">
        <f>INDEX(DB!$B$2:$AB$62,MATCH(Perf!$AL61,DB!$A$2:$A$62,0),MATCH(Perf!AN$1,DB!$B$1:$AB$1,0))</f>
        <v>#REF!</v>
      </c>
      <c r="AO61" s="149" t="e">
        <f>INDEX(DB!$B$2:$AB$62,MATCH(Perf!$AL61,DB!$A$2:$A$62,0),MATCH(Perf!AO$1,DB!$B$1:$AB$1,0))</f>
        <v>#REF!</v>
      </c>
      <c r="AP61" s="149" t="e">
        <f>INDEX(DB!$B$2:$AB$62,MATCH(Perf!$AL61,DB!$A$2:$A$62,0),MATCH(Perf!AP$1,DB!$B$1:$AB$1,0))</f>
        <v>#REF!</v>
      </c>
      <c r="AQ61" s="149" t="e">
        <f>INDEX(DB!$B$2:$AB$62,MATCH(Perf!$AL61,DB!$A$2:$A$62,0),MATCH(Perf!AQ$1,DB!$B$1:$AB$1,0))</f>
        <v>#REF!</v>
      </c>
      <c r="AR61" s="149" t="e">
        <f>INDEX(DB!$B$2:$AB$62,MATCH(Perf!$AL61,DB!$A$2:$A$62,0),MATCH(Perf!AR$1,DB!$B$1:$AB$1,0))</f>
        <v>#REF!</v>
      </c>
      <c r="AS61" s="149" t="e">
        <f>INDEX(DB!$B$2:$AB$62,MATCH(Perf!$AL61,DB!$A$2:$A$62,0),MATCH(Perf!AS$1,DB!$B$1:$AB$1,0))</f>
        <v>#REF!</v>
      </c>
      <c r="AT61" s="149" t="e">
        <f>INDEX(DB!$B$2:$AB$62,MATCH(Perf!$AL61,DB!$A$2:$A$62,0),MATCH(Perf!AT$1,DB!$B$1:$AB$1,0))</f>
        <v>#REF!</v>
      </c>
      <c r="AU61" s="149" t="e">
        <f>INDEX(DB!$B$2:$AB$62,MATCH(Perf!$AL61,DB!$A$2:$A$62,0),MATCH(Perf!AU$1,DB!$B$1:$AB$1,0))</f>
        <v>#REF!</v>
      </c>
      <c r="AV61" s="149" t="e">
        <f>INDEX(DB!$B$2:$AB$62,MATCH(Perf!$AL61,DB!$A$2:$A$62,0),MATCH(Perf!AV$1,DB!$B$1:$AB$1,0))</f>
        <v>#REF!</v>
      </c>
      <c r="AW61" s="149" t="e">
        <f>INDEX(DB!$B$2:$AB$62,MATCH(Perf!$AL61,DB!$A$2:$A$62,0),MATCH(Perf!AW$1,DB!$B$1:$AB$1,0))</f>
        <v>#REF!</v>
      </c>
      <c r="AX61" s="149" t="e">
        <f>INDEX(DB!$B$2:$AB$62,MATCH(Perf!$AL61,DB!$A$2:$A$62,0),MATCH(Perf!AX$1,DB!$B$1:$AB$1,0))</f>
        <v>#REF!</v>
      </c>
      <c r="AY61" s="149" t="e">
        <f>INDEX(DB!$B$2:$AB$62,MATCH(Perf!$AL61,DB!$A$2:$A$62,0),MATCH(Perf!AY$1,DB!$B$1:$AB$1,0))</f>
        <v>#REF!</v>
      </c>
      <c r="AZ61" s="149" t="e">
        <f>INDEX(DB!$B$2:$AB$62,MATCH(Perf!$AL61,DB!$A$2:$A$62,0),MATCH(Perf!AZ$1,DB!$B$1:$AB$1,0))</f>
        <v>#REF!</v>
      </c>
      <c r="BA61" s="149" t="e">
        <f>INDEX(DB!$B$2:$AB$62,MATCH(Perf!$AL61,DB!$A$2:$A$62,0),MATCH(Perf!BA$1,DB!$B$1:$AB$1,0))</f>
        <v>#REF!</v>
      </c>
      <c r="BB61" s="149" t="e">
        <f>INDEX(DB!$B$2:$AB$62,MATCH(Perf!$AL61,DB!$A$2:$A$62,0),MATCH(Perf!BB$1,DB!$B$1:$AB$1,0))</f>
        <v>#REF!</v>
      </c>
      <c r="BC61" s="149" t="e">
        <f>INDEX(DB!$B$2:$AB$62,MATCH(Perf!$AL61,DB!$A$2:$A$62,0),MATCH(Perf!BC$1,DB!$B$1:$AB$1,0))</f>
        <v>#REF!</v>
      </c>
      <c r="BD61" s="149" t="e">
        <f>INDEX(DB!$B$2:$AB$62,MATCH(Perf!$AL61,DB!$A$2:$A$62,0),MATCH(Perf!BD$1,DB!$B$1:$AB$1,0))</f>
        <v>#REF!</v>
      </c>
      <c r="BE61" s="149" t="e">
        <f>INDEX(DB!$B$2:$AB$62,MATCH(Perf!$AL61,DB!$A$2:$A$62,0),MATCH(Perf!BE$1,DB!$B$1:$AB$1,0))</f>
        <v>#REF!</v>
      </c>
      <c r="BF61" s="149" t="e">
        <f>INDEX(DB!$B$2:$AB$62,MATCH(Perf!$AL61,DB!$A$2:$A$62,0),MATCH(Perf!BF$1,DB!$B$1:$AB$1,0))</f>
        <v>#REF!</v>
      </c>
      <c r="BG61" s="149" t="e">
        <f>INDEX(DB!$B$2:$AB$62,MATCH(Perf!$AL61,DB!$A$2:$A$62,0),MATCH(Perf!BG$1,DB!$B$1:$AB$1,0))</f>
        <v>#REF!</v>
      </c>
      <c r="BH61" s="149" t="e">
        <f>INDEX(DB!$B$2:$AB$62,MATCH(Perf!$AL61,DB!$A$2:$A$62,0),MATCH(Perf!BH$1,DB!$B$1:$AB$1,0))</f>
        <v>#REF!</v>
      </c>
      <c r="BI61" s="149" t="e">
        <f>INDEX(DB!$B$2:$AB$62,MATCH(Perf!$AL61,DB!$A$2:$A$62,0),MATCH(Perf!BI$1,DB!$B$1:$AB$1,0))</f>
        <v>#REF!</v>
      </c>
      <c r="BJ61" s="149" t="e">
        <f>INDEX(DB!$B$2:$AB$62,MATCH(Perf!$AL61,DB!$A$2:$A$62,0),MATCH(Perf!BJ$1,DB!$B$1:$AB$1,0))</f>
        <v>#REF!</v>
      </c>
      <c r="BK61" s="149" t="e">
        <f>INDEX(DB!$B$2:$AB$62,MATCH(Perf!$AL61,DB!$A$2:$A$62,0),MATCH(Perf!BK$1,DB!$B$1:$AB$1,0))</f>
        <v>#REF!</v>
      </c>
      <c r="BL61" s="149" t="e">
        <f>INDEX(DB!$B$2:$AB$62,MATCH(Perf!$AL61,DB!$A$2:$A$62,0),MATCH(Perf!BL$1,DB!$B$1:$AB$1,0))</f>
        <v>#REF!</v>
      </c>
      <c r="BM61" s="149" t="e">
        <f>INDEX(DB!$B$2:$AB$62,MATCH(Perf!$AL61,DB!$A$2:$A$62,0),MATCH(Perf!BM$1,DB!$B$1:$AB$1,0))</f>
        <v>#REF!</v>
      </c>
    </row>
    <row r="62" spans="1:65" x14ac:dyDescent="0.15">
      <c r="A62" s="151">
        <f t="shared" si="8"/>
        <v>45930</v>
      </c>
      <c r="B62" s="148" t="e" cm="1">
        <f t="array" ref="B62">SUMPRODUCT(TRANSPOSE(#REF!),Perf!$AM62:$BN62)/100</f>
        <v>#REF!</v>
      </c>
      <c r="C62" s="148" t="e" cm="1">
        <f t="array" ref="C62">SUMPRODUCT(TRANSPOSE(#REF!),Perf!$AM62:$BN62)/100</f>
        <v>#REF!</v>
      </c>
      <c r="D62" s="148" t="e" cm="1">
        <f t="array" ref="D62">SUMPRODUCT(TRANSPOSE(#REF!),Perf!$AM62:$BN62)/100</f>
        <v>#REF!</v>
      </c>
      <c r="E62" s="148" t="e" cm="1">
        <f t="array" ref="E62">SUMPRODUCT(TRANSPOSE(#REF!),Perf!$AM62:$BN62)/100</f>
        <v>#REF!</v>
      </c>
      <c r="F62" s="148" t="e" cm="1">
        <f t="array" ref="F62">SUMPRODUCT(TRANSPOSE(#REF!),Perf!$AM62:$BN62)/100</f>
        <v>#REF!</v>
      </c>
      <c r="G62" s="148" t="e">
        <f t="shared" si="9"/>
        <v>#REF!</v>
      </c>
      <c r="H62" s="148"/>
      <c r="I62" s="160">
        <f t="shared" si="33"/>
        <v>45900</v>
      </c>
      <c r="J62" s="148" t="e">
        <f t="shared" si="19"/>
        <v>#REF!</v>
      </c>
      <c r="K62" s="148" t="e">
        <f t="shared" si="20"/>
        <v>#REF!</v>
      </c>
      <c r="L62" s="148" t="e">
        <f t="shared" si="21"/>
        <v>#REF!</v>
      </c>
      <c r="M62" s="148" t="e">
        <f t="shared" si="22"/>
        <v>#REF!</v>
      </c>
      <c r="N62" s="148" t="e">
        <f t="shared" si="23"/>
        <v>#REF!</v>
      </c>
      <c r="O62" s="148" t="e">
        <f t="shared" si="24"/>
        <v>#REF!</v>
      </c>
      <c r="P62" s="148"/>
      <c r="Q62" s="160">
        <f t="shared" si="12"/>
        <v>45930</v>
      </c>
      <c r="R62" s="148" t="e">
        <f t="shared" si="13"/>
        <v>#REF!</v>
      </c>
      <c r="S62" s="148" t="e">
        <f t="shared" si="14"/>
        <v>#REF!</v>
      </c>
      <c r="T62" s="148" t="e">
        <f t="shared" si="15"/>
        <v>#REF!</v>
      </c>
      <c r="U62" s="148" t="e">
        <f t="shared" si="16"/>
        <v>#REF!</v>
      </c>
      <c r="V62" s="148" t="e">
        <f t="shared" si="17"/>
        <v>#REF!</v>
      </c>
      <c r="W62" s="148"/>
      <c r="X62" s="160">
        <f t="shared" si="34"/>
        <v>45930</v>
      </c>
      <c r="Y62" s="169" t="e" cm="1">
        <f t="array" ref="Y62">AnnualReturn(R27:R62)</f>
        <v>#VALUE!</v>
      </c>
      <c r="Z62" s="169" t="e" cm="1">
        <f t="array" ref="Z62">AnnualReturn(S27:S62)</f>
        <v>#VALUE!</v>
      </c>
      <c r="AA62" s="169" t="e" cm="1">
        <f t="array" ref="AA62">AnnualReturn(T27:T62)</f>
        <v>#VALUE!</v>
      </c>
      <c r="AB62" s="169" t="e" cm="1">
        <f t="array" ref="AB62">AnnualReturn(U27:U62)</f>
        <v>#VALUE!</v>
      </c>
      <c r="AC62" s="169" t="e" cm="1">
        <f t="array" ref="AC62">AnnualReturn(V27:V62)</f>
        <v>#VALUE!</v>
      </c>
      <c r="AD62" s="148"/>
      <c r="AE62" s="160">
        <f t="shared" si="35"/>
        <v>45930</v>
      </c>
      <c r="AF62" s="170" t="e">
        <f t="shared" si="28"/>
        <v>#REF!</v>
      </c>
      <c r="AG62" s="170" t="e">
        <f t="shared" si="29"/>
        <v>#REF!</v>
      </c>
      <c r="AH62" s="170" t="e">
        <f t="shared" si="30"/>
        <v>#REF!</v>
      </c>
      <c r="AI62" s="170" t="e">
        <f t="shared" si="31"/>
        <v>#REF!</v>
      </c>
      <c r="AJ62" s="170" t="e">
        <f t="shared" si="32"/>
        <v>#REF!</v>
      </c>
      <c r="AL62" s="151">
        <f>DB!A62</f>
        <v>45930</v>
      </c>
      <c r="AM62" s="149" t="e">
        <f>INDEX(DB!$B$2:$AB$62,MATCH(Perf!$AL62,DB!$A$2:$A$62,0),MATCH(Perf!AM$1,DB!$B$1:$AB$1,0))</f>
        <v>#REF!</v>
      </c>
      <c r="AN62" s="149" t="e">
        <f>INDEX(DB!$B$2:$AB$62,MATCH(Perf!$AL62,DB!$A$2:$A$62,0),MATCH(Perf!AN$1,DB!$B$1:$AB$1,0))</f>
        <v>#REF!</v>
      </c>
      <c r="AO62" s="149" t="e">
        <f>INDEX(DB!$B$2:$AB$62,MATCH(Perf!$AL62,DB!$A$2:$A$62,0),MATCH(Perf!AO$1,DB!$B$1:$AB$1,0))</f>
        <v>#REF!</v>
      </c>
      <c r="AP62" s="149" t="e">
        <f>INDEX(DB!$B$2:$AB$62,MATCH(Perf!$AL62,DB!$A$2:$A$62,0),MATCH(Perf!AP$1,DB!$B$1:$AB$1,0))</f>
        <v>#REF!</v>
      </c>
      <c r="AQ62" s="149" t="e">
        <f>INDEX(DB!$B$2:$AB$62,MATCH(Perf!$AL62,DB!$A$2:$A$62,0),MATCH(Perf!AQ$1,DB!$B$1:$AB$1,0))</f>
        <v>#REF!</v>
      </c>
      <c r="AR62" s="149" t="e">
        <f>INDEX(DB!$B$2:$AB$62,MATCH(Perf!$AL62,DB!$A$2:$A$62,0),MATCH(Perf!AR$1,DB!$B$1:$AB$1,0))</f>
        <v>#REF!</v>
      </c>
      <c r="AS62" s="149" t="e">
        <f>INDEX(DB!$B$2:$AB$62,MATCH(Perf!$AL62,DB!$A$2:$A$62,0),MATCH(Perf!AS$1,DB!$B$1:$AB$1,0))</f>
        <v>#REF!</v>
      </c>
      <c r="AT62" s="149" t="e">
        <f>INDEX(DB!$B$2:$AB$62,MATCH(Perf!$AL62,DB!$A$2:$A$62,0),MATCH(Perf!AT$1,DB!$B$1:$AB$1,0))</f>
        <v>#REF!</v>
      </c>
      <c r="AU62" s="149" t="e">
        <f>INDEX(DB!$B$2:$AB$62,MATCH(Perf!$AL62,DB!$A$2:$A$62,0),MATCH(Perf!AU$1,DB!$B$1:$AB$1,0))</f>
        <v>#REF!</v>
      </c>
      <c r="AV62" s="149" t="e">
        <f>INDEX(DB!$B$2:$AB$62,MATCH(Perf!$AL62,DB!$A$2:$A$62,0),MATCH(Perf!AV$1,DB!$B$1:$AB$1,0))</f>
        <v>#REF!</v>
      </c>
      <c r="AW62" s="149" t="e">
        <f>INDEX(DB!$B$2:$AB$62,MATCH(Perf!$AL62,DB!$A$2:$A$62,0),MATCH(Perf!AW$1,DB!$B$1:$AB$1,0))</f>
        <v>#REF!</v>
      </c>
      <c r="AX62" s="149" t="e">
        <f>INDEX(DB!$B$2:$AB$62,MATCH(Perf!$AL62,DB!$A$2:$A$62,0),MATCH(Perf!AX$1,DB!$B$1:$AB$1,0))</f>
        <v>#REF!</v>
      </c>
      <c r="AY62" s="149" t="e">
        <f>INDEX(DB!$B$2:$AB$62,MATCH(Perf!$AL62,DB!$A$2:$A$62,0),MATCH(Perf!AY$1,DB!$B$1:$AB$1,0))</f>
        <v>#REF!</v>
      </c>
      <c r="AZ62" s="149" t="e">
        <f>INDEX(DB!$B$2:$AB$62,MATCH(Perf!$AL62,DB!$A$2:$A$62,0),MATCH(Perf!AZ$1,DB!$B$1:$AB$1,0))</f>
        <v>#REF!</v>
      </c>
      <c r="BA62" s="149" t="e">
        <f>INDEX(DB!$B$2:$AB$62,MATCH(Perf!$AL62,DB!$A$2:$A$62,0),MATCH(Perf!BA$1,DB!$B$1:$AB$1,0))</f>
        <v>#REF!</v>
      </c>
      <c r="BB62" s="149" t="e">
        <f>INDEX(DB!$B$2:$AB$62,MATCH(Perf!$AL62,DB!$A$2:$A$62,0),MATCH(Perf!BB$1,DB!$B$1:$AB$1,0))</f>
        <v>#REF!</v>
      </c>
      <c r="BC62" s="149" t="e">
        <f>INDEX(DB!$B$2:$AB$62,MATCH(Perf!$AL62,DB!$A$2:$A$62,0),MATCH(Perf!BC$1,DB!$B$1:$AB$1,0))</f>
        <v>#REF!</v>
      </c>
      <c r="BD62" s="149" t="e">
        <f>INDEX(DB!$B$2:$AB$62,MATCH(Perf!$AL62,DB!$A$2:$A$62,0),MATCH(Perf!BD$1,DB!$B$1:$AB$1,0))</f>
        <v>#REF!</v>
      </c>
      <c r="BE62" s="149" t="e">
        <f>INDEX(DB!$B$2:$AB$62,MATCH(Perf!$AL62,DB!$A$2:$A$62,0),MATCH(Perf!BE$1,DB!$B$1:$AB$1,0))</f>
        <v>#REF!</v>
      </c>
      <c r="BF62" s="149" t="e">
        <f>INDEX(DB!$B$2:$AB$62,MATCH(Perf!$AL62,DB!$A$2:$A$62,0),MATCH(Perf!BF$1,DB!$B$1:$AB$1,0))</f>
        <v>#REF!</v>
      </c>
      <c r="BG62" s="149" t="e">
        <f>INDEX(DB!$B$2:$AB$62,MATCH(Perf!$AL62,DB!$A$2:$A$62,0),MATCH(Perf!BG$1,DB!$B$1:$AB$1,0))</f>
        <v>#REF!</v>
      </c>
      <c r="BH62" s="149" t="e">
        <f>INDEX(DB!$B$2:$AB$62,MATCH(Perf!$AL62,DB!$A$2:$A$62,0),MATCH(Perf!BH$1,DB!$B$1:$AB$1,0))</f>
        <v>#REF!</v>
      </c>
      <c r="BI62" s="149" t="e">
        <f>INDEX(DB!$B$2:$AB$62,MATCH(Perf!$AL62,DB!$A$2:$A$62,0),MATCH(Perf!BI$1,DB!$B$1:$AB$1,0))</f>
        <v>#REF!</v>
      </c>
      <c r="BJ62" s="149" t="e">
        <f>INDEX(DB!$B$2:$AB$62,MATCH(Perf!$AL62,DB!$A$2:$A$62,0),MATCH(Perf!BJ$1,DB!$B$1:$AB$1,0))</f>
        <v>#REF!</v>
      </c>
      <c r="BK62" s="149" t="e">
        <f>INDEX(DB!$B$2:$AB$62,MATCH(Perf!$AL62,DB!$A$2:$A$62,0),MATCH(Perf!BK$1,DB!$B$1:$AB$1,0))</f>
        <v>#REF!</v>
      </c>
      <c r="BL62" s="149" t="e">
        <f>INDEX(DB!$B$2:$AB$62,MATCH(Perf!$AL62,DB!$A$2:$A$62,0),MATCH(Perf!BL$1,DB!$B$1:$AB$1,0))</f>
        <v>#REF!</v>
      </c>
      <c r="BM62" s="149" t="e">
        <f>INDEX(DB!$B$2:$AB$62,MATCH(Perf!$AL62,DB!$A$2:$A$62,0),MATCH(Perf!BM$1,DB!$B$1:$AB$1,0))</f>
        <v>#REF!</v>
      </c>
    </row>
    <row r="63" spans="1:65" x14ac:dyDescent="0.15">
      <c r="I63" s="160">
        <f t="shared" si="33"/>
        <v>45930</v>
      </c>
      <c r="J63" s="148" t="e">
        <f t="shared" si="19"/>
        <v>#REF!</v>
      </c>
      <c r="K63" s="148" t="e">
        <f t="shared" si="20"/>
        <v>#REF!</v>
      </c>
      <c r="L63" s="148" t="e">
        <f t="shared" si="21"/>
        <v>#REF!</v>
      </c>
      <c r="M63" s="148" t="e">
        <f t="shared" si="22"/>
        <v>#REF!</v>
      </c>
      <c r="N63" s="148" t="e">
        <f t="shared" si="23"/>
        <v>#REF!</v>
      </c>
      <c r="O63" s="148" t="e">
        <f t="shared" si="24"/>
        <v>#REF!</v>
      </c>
      <c r="Q63" s="160"/>
      <c r="R63" s="148"/>
      <c r="S63" s="148"/>
      <c r="T63" s="148"/>
      <c r="U63" s="148"/>
      <c r="V63" s="148"/>
      <c r="W63" s="148"/>
      <c r="X63" s="148"/>
      <c r="Y63" s="148"/>
      <c r="Z63" s="148"/>
      <c r="AA63" s="148"/>
      <c r="AB63" s="148"/>
      <c r="AC63" s="148"/>
      <c r="AD63" s="148"/>
      <c r="AE63" s="148"/>
      <c r="AF63" s="148"/>
      <c r="AG63" s="148"/>
      <c r="AH63" s="148"/>
      <c r="AI63" s="148"/>
      <c r="AJ63" s="148"/>
      <c r="AL63" s="151"/>
      <c r="AN63" s="148"/>
      <c r="AO63" s="148"/>
      <c r="AP63" s="148"/>
      <c r="AQ63" s="148"/>
      <c r="AR63" s="148"/>
      <c r="AS63" s="148"/>
      <c r="AT63" s="148"/>
      <c r="AU63" s="148"/>
      <c r="AV63" s="148"/>
      <c r="AW63" s="148"/>
      <c r="AX63" s="148"/>
      <c r="AY63" s="148"/>
      <c r="AZ63" s="148"/>
      <c r="BA63" s="148"/>
      <c r="BB63" s="148"/>
      <c r="BC63" s="148"/>
      <c r="BD63" s="148"/>
      <c r="BE63" s="148"/>
      <c r="BF63" s="148"/>
      <c r="BG63" s="148"/>
      <c r="BH63" s="148"/>
      <c r="BI63" s="148"/>
      <c r="BJ63" s="148"/>
      <c r="BK63" s="148"/>
      <c r="BL63" s="148"/>
    </row>
    <row r="64" spans="1:65" ht="26.25" customHeight="1" x14ac:dyDescent="0.15">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3"/>
      <c r="AL64" s="153"/>
      <c r="AM64" s="153"/>
      <c r="AN64" s="153"/>
      <c r="AO64" s="153"/>
      <c r="AP64" s="153"/>
      <c r="AQ64" s="153"/>
      <c r="AR64" s="153"/>
      <c r="AS64" s="153"/>
      <c r="AT64" s="153"/>
      <c r="AU64" s="153"/>
      <c r="AV64" s="153"/>
      <c r="AW64" s="153"/>
      <c r="AX64" s="153"/>
      <c r="AY64" s="153"/>
      <c r="AZ64" s="153"/>
      <c r="BA64" s="153"/>
      <c r="BB64" s="153"/>
      <c r="BC64" s="153"/>
      <c r="BD64" s="153"/>
      <c r="BE64" s="153"/>
      <c r="BF64" s="153"/>
      <c r="BG64" s="153"/>
      <c r="BH64" s="153"/>
      <c r="BI64" s="153"/>
      <c r="BJ64" s="153"/>
      <c r="BK64" s="153"/>
      <c r="BL64" s="153"/>
      <c r="BM64" s="153"/>
    </row>
    <row r="65" spans="8:65" ht="12" x14ac:dyDescent="0.15">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L65" s="151"/>
      <c r="AM65" s="148"/>
      <c r="AN65" s="148"/>
      <c r="AO65" s="148"/>
      <c r="AP65" s="148"/>
      <c r="AQ65" s="148"/>
      <c r="AR65" s="148"/>
      <c r="AS65" s="148"/>
      <c r="AT65" s="148"/>
      <c r="AU65" s="148"/>
      <c r="AV65" s="148"/>
      <c r="AW65" s="148"/>
      <c r="AX65" s="148"/>
      <c r="AY65" s="148"/>
      <c r="AZ65" s="148"/>
      <c r="BA65" s="148"/>
      <c r="BB65" s="148"/>
      <c r="BC65" s="148"/>
      <c r="BD65" s="148"/>
      <c r="BE65" s="148"/>
      <c r="BF65" s="148"/>
      <c r="BG65" s="148"/>
      <c r="BH65" s="148"/>
      <c r="BI65" s="148"/>
      <c r="BJ65" s="148"/>
      <c r="BK65" s="148"/>
      <c r="BL65" s="148"/>
    </row>
    <row r="66" spans="8:65" ht="12" x14ac:dyDescent="0.15">
      <c r="H66" s="158"/>
      <c r="I66" s="158"/>
      <c r="J66" s="158"/>
      <c r="K66" s="158"/>
      <c r="L66" s="158"/>
      <c r="M66" s="158"/>
      <c r="N66" s="158"/>
      <c r="O66" s="158"/>
      <c r="P66" s="158"/>
      <c r="Q66" s="158"/>
      <c r="R66" s="158"/>
      <c r="S66" s="158"/>
      <c r="T66" s="158"/>
      <c r="U66" s="158"/>
      <c r="V66" s="158"/>
      <c r="W66" s="158"/>
      <c r="X66" s="158"/>
      <c r="Y66" s="158"/>
      <c r="Z66" s="158"/>
      <c r="AA66" s="158"/>
      <c r="AB66" s="158"/>
      <c r="AC66" s="158"/>
      <c r="AD66" s="158"/>
      <c r="AE66" s="158"/>
      <c r="AF66" s="158"/>
      <c r="AG66" s="158"/>
      <c r="AH66" s="158"/>
      <c r="AI66" s="158"/>
      <c r="AJ66" s="158"/>
      <c r="AL66" s="151"/>
      <c r="BC66" s="148"/>
      <c r="BD66" s="148"/>
      <c r="BE66" s="148"/>
      <c r="BF66" s="148"/>
      <c r="BG66" s="148"/>
      <c r="BH66" s="148"/>
      <c r="BI66" s="148"/>
      <c r="BJ66" s="148"/>
      <c r="BK66" s="148"/>
      <c r="BL66" s="148"/>
      <c r="BM66" s="148"/>
    </row>
    <row r="67" spans="8:65" ht="12" x14ac:dyDescent="0.15">
      <c r="H67" s="158"/>
      <c r="I67" s="158"/>
      <c r="J67" s="158"/>
      <c r="K67" s="158"/>
      <c r="L67" s="158"/>
      <c r="M67" s="158"/>
      <c r="N67" s="158"/>
      <c r="O67" s="158"/>
      <c r="P67" s="158"/>
      <c r="Q67" s="158"/>
      <c r="R67" s="158"/>
      <c r="S67" s="158"/>
      <c r="T67" s="158"/>
      <c r="U67" s="158"/>
      <c r="V67" s="158"/>
      <c r="W67" s="158"/>
      <c r="X67" s="158"/>
      <c r="Y67" s="158"/>
      <c r="Z67" s="158"/>
      <c r="AA67" s="158"/>
      <c r="AB67" s="158"/>
      <c r="AC67" s="158"/>
      <c r="AD67" s="158"/>
      <c r="AE67" s="158"/>
      <c r="AF67" s="158"/>
      <c r="AG67" s="158"/>
      <c r="AH67" s="158"/>
      <c r="AI67" s="158"/>
      <c r="AJ67" s="158"/>
      <c r="AL67" s="151"/>
      <c r="BC67" s="148"/>
      <c r="BD67" s="148"/>
      <c r="BE67" s="148"/>
      <c r="BF67" s="148"/>
      <c r="BG67" s="148"/>
      <c r="BH67" s="148"/>
      <c r="BI67" s="148"/>
      <c r="BJ67" s="148"/>
      <c r="BK67" s="148"/>
      <c r="BL67" s="148"/>
      <c r="BM67" s="148"/>
    </row>
    <row r="68" spans="8:65" ht="12" x14ac:dyDescent="0.15">
      <c r="H68" s="158"/>
      <c r="I68" s="158"/>
      <c r="J68" s="158"/>
      <c r="K68" s="158"/>
      <c r="L68" s="158"/>
      <c r="M68" s="158"/>
      <c r="N68" s="158"/>
      <c r="O68" s="158"/>
      <c r="P68" s="158"/>
      <c r="Q68" s="158"/>
      <c r="R68" s="158"/>
      <c r="S68" s="158"/>
      <c r="T68" s="158"/>
      <c r="U68" s="158"/>
      <c r="V68" s="158"/>
      <c r="W68" s="158"/>
      <c r="X68" s="158"/>
      <c r="Y68" s="158"/>
      <c r="Z68" s="158"/>
      <c r="AA68" s="158"/>
      <c r="AB68" s="158"/>
      <c r="AC68" s="158"/>
      <c r="AD68" s="158"/>
      <c r="AE68" s="158"/>
      <c r="AF68" s="158"/>
      <c r="AG68" s="158"/>
      <c r="AH68" s="158"/>
      <c r="AI68" s="158"/>
      <c r="AJ68" s="158"/>
      <c r="AL68" s="151"/>
      <c r="AN68" s="148"/>
      <c r="AO68" s="148"/>
      <c r="AP68" s="148"/>
      <c r="AQ68" s="148"/>
      <c r="AR68" s="148"/>
      <c r="AS68" s="148"/>
      <c r="AT68" s="148"/>
      <c r="AU68" s="148"/>
      <c r="AV68" s="148"/>
      <c r="AW68" s="148"/>
      <c r="AX68" s="148"/>
      <c r="AY68" s="148"/>
      <c r="AZ68" s="148"/>
      <c r="BA68" s="148"/>
      <c r="BB68" s="148"/>
      <c r="BC68" s="148"/>
      <c r="BD68" s="148"/>
      <c r="BE68" s="148"/>
      <c r="BF68" s="148"/>
      <c r="BG68" s="148"/>
      <c r="BH68" s="148"/>
      <c r="BI68" s="148"/>
      <c r="BJ68" s="148"/>
      <c r="BK68" s="148"/>
      <c r="BL68" s="148"/>
    </row>
    <row r="69" spans="8:65" ht="12" x14ac:dyDescent="0.15">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159"/>
      <c r="AL69" s="151"/>
      <c r="AN69" s="148"/>
      <c r="AO69" s="148"/>
      <c r="AP69" s="148"/>
      <c r="AQ69" s="148"/>
      <c r="AR69" s="148"/>
      <c r="AS69" s="148"/>
      <c r="AT69" s="148"/>
      <c r="AU69" s="148"/>
      <c r="AV69" s="148"/>
      <c r="AW69" s="148"/>
      <c r="AX69" s="148"/>
      <c r="AY69" s="148"/>
      <c r="AZ69" s="148"/>
      <c r="BA69" s="148"/>
      <c r="BB69" s="148"/>
      <c r="BC69" s="148"/>
      <c r="BD69" s="148"/>
      <c r="BE69" s="148"/>
      <c r="BF69" s="148"/>
      <c r="BG69" s="148"/>
      <c r="BH69" s="148"/>
      <c r="BI69" s="148"/>
      <c r="BJ69" s="148"/>
      <c r="BK69" s="148"/>
      <c r="BL69" s="14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LIST</vt:lpstr>
      <vt:lpstr>4 models liquid US</vt:lpstr>
      <vt:lpstr>4 models US</vt:lpstr>
      <vt:lpstr>4 models liquid (INT)</vt:lpstr>
      <vt:lpstr>Characteristics</vt:lpstr>
      <vt:lpstr>ALL MODELS (INT)</vt:lpstr>
      <vt:lpstr>ALL MODELS</vt:lpstr>
      <vt:lpstr>DB</vt:lpstr>
      <vt:lpstr>Sheet3</vt:lpstr>
      <vt:lpstr>Perf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Hokanson</dc:creator>
  <cp:lastModifiedBy>Xavier Court</cp:lastModifiedBy>
  <dcterms:created xsi:type="dcterms:W3CDTF">2025-07-08T11:37:18Z</dcterms:created>
  <dcterms:modified xsi:type="dcterms:W3CDTF">2025-12-02T17:07:15Z</dcterms:modified>
</cp:coreProperties>
</file>