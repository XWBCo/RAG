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pi.box.com/wopi/files/1947416314818/WOPIServiceId_TP_BOX_2/WOPIUserId_-/"/>
    </mc:Choice>
  </mc:AlternateContent>
  <xr:revisionPtr revIDLastSave="777" documentId="8_{2BEA2ECF-731C-425B-9C95-901F6BDD0C5C}" xr6:coauthVersionLast="47" xr6:coauthVersionMax="47" xr10:uidLastSave="{E8F6BB06-85BF-4A75-A7B7-6319A6F86666}"/>
  <bookViews>
    <workbookView xWindow="21630" yWindow="735" windowWidth="25410" windowHeight="16695" firstSheet="4" xr2:uid="{4C65AF07-2C40-4956-93D6-1041F69ADCF2}"/>
  </bookViews>
  <sheets>
    <sheet name="Pipeline" sheetId="1" r:id="rId1"/>
    <sheet name="Archetype w managers" sheetId="4" r:id="rId2"/>
    <sheet name="Impact 2.0 Model" sheetId="2" r:id="rId3"/>
    <sheet name="Inc Inno credit funds" sheetId="3" r:id="rId4"/>
    <sheet name="Active Fund - Inclus Innov" sheetId="5" r:id="rId5"/>
  </sheets>
  <definedNames>
    <definedName name="_xlnm._FilterDatabase" localSheetId="0" hidden="1">Pipeline!$A$1:$I$29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9" i="5" l="1"/>
  <c r="V13" i="5"/>
  <c r="V14" i="5"/>
  <c r="V15" i="5"/>
  <c r="V17" i="5"/>
  <c r="V21" i="5"/>
  <c r="V22" i="5"/>
  <c r="V23" i="5"/>
  <c r="V24" i="5"/>
  <c r="V12" i="5"/>
  <c r="Q13" i="5"/>
  <c r="L13" i="5"/>
</calcChain>
</file>

<file path=xl/sharedStrings.xml><?xml version="1.0" encoding="utf-8"?>
<sst xmlns="http://schemas.openxmlformats.org/spreadsheetml/2006/main" count="843" uniqueCount="495">
  <si>
    <t>Strategy</t>
  </si>
  <si>
    <t>Asset Class</t>
  </si>
  <si>
    <t>Availability</t>
  </si>
  <si>
    <t>Minimum ($)</t>
  </si>
  <si>
    <t>Impact 2.0 Model</t>
  </si>
  <si>
    <t>Analyst</t>
  </si>
  <si>
    <t>Status</t>
  </si>
  <si>
    <t>Close Window</t>
  </si>
  <si>
    <t>GIO-PEP-Direct</t>
  </si>
  <si>
    <t>ValueAct LP</t>
  </si>
  <si>
    <t>Public Equity</t>
  </si>
  <si>
    <t>US, INTL</t>
  </si>
  <si>
    <t>1,2</t>
  </si>
  <si>
    <t>Approved</t>
  </si>
  <si>
    <t>TBC</t>
  </si>
  <si>
    <t>Direct</t>
  </si>
  <si>
    <t>Lowercarbon Q&gt;10</t>
  </si>
  <si>
    <t>Venture Capital - Climate</t>
  </si>
  <si>
    <t>1,2,3</t>
  </si>
  <si>
    <t>AH</t>
  </si>
  <si>
    <t>GIO-PEP</t>
  </si>
  <si>
    <t xml:space="preserve">CIM Enterprise Loan Fund LP </t>
  </si>
  <si>
    <t>Diversified - US Credit - Financial Inclusion</t>
  </si>
  <si>
    <t>US</t>
  </si>
  <si>
    <t>2,4</t>
  </si>
  <si>
    <t>Community EM Credit Fund LP</t>
  </si>
  <si>
    <t>Diversified - EM Credit - Financial Inclusion</t>
  </si>
  <si>
    <t>Aristata</t>
  </si>
  <si>
    <t>Litigation Funding</t>
  </si>
  <si>
    <t>2,3,4</t>
  </si>
  <si>
    <t>JL</t>
  </si>
  <si>
    <t>Xponance</t>
  </si>
  <si>
    <t>public equity - passive index - SMA</t>
  </si>
  <si>
    <t xml:space="preserve">US </t>
  </si>
  <si>
    <t>TD/MS/DE</t>
  </si>
  <si>
    <t>rePLANET</t>
  </si>
  <si>
    <t>Natural Capital (direct investment)</t>
  </si>
  <si>
    <t>INTL</t>
  </si>
  <si>
    <t>2,3</t>
  </si>
  <si>
    <t>Client Directed</t>
  </si>
  <si>
    <t>Lowercarbon Opportunity Fund (name TBD)</t>
  </si>
  <si>
    <t>1,2,4</t>
  </si>
  <si>
    <t>Q1 2026</t>
  </si>
  <si>
    <t>Founders First</t>
  </si>
  <si>
    <t>Catalytic - US Credit - Financial Inclusion</t>
  </si>
  <si>
    <t>2, 4</t>
  </si>
  <si>
    <t>DE</t>
  </si>
  <si>
    <t>Likely Q4</t>
  </si>
  <si>
    <t>Patrizia Sustainable Communities II</t>
  </si>
  <si>
    <t>Affordable Housing</t>
  </si>
  <si>
    <t>EIP Frontier Deep Decarbonization II</t>
  </si>
  <si>
    <t>Capricorn TIGF III</t>
  </si>
  <si>
    <t>GIO</t>
  </si>
  <si>
    <t>Schroders Greencoat US Fund</t>
  </si>
  <si>
    <t>Renewable Energy Infra (Greenbacker replacement)</t>
  </si>
  <si>
    <t>Macquarie Energy Transition Infrastructure Fund (METI)</t>
  </si>
  <si>
    <t>Macquarie Green Energy Climate Opportunities Fund (MGECO)</t>
  </si>
  <si>
    <t>EQT Life Sciences 8 - Dementia</t>
  </si>
  <si>
    <t>Venture Capital - Healthcare</t>
  </si>
  <si>
    <t>DE/AC</t>
  </si>
  <si>
    <t>Galvanize Global Equity</t>
  </si>
  <si>
    <t>Climate Focused Public Equity</t>
  </si>
  <si>
    <t>Active Public Fund - Inclusive Innovation</t>
  </si>
  <si>
    <t>active public equity - inclusive innovation</t>
  </si>
  <si>
    <t>N/A</t>
  </si>
  <si>
    <t>TD/DE</t>
  </si>
  <si>
    <t>Likey Q4</t>
  </si>
  <si>
    <t>BlueEarth Global Impact Credit</t>
  </si>
  <si>
    <t>Private Credit (Global)</t>
  </si>
  <si>
    <t>1,2,3,4</t>
  </si>
  <si>
    <t>Monarch Capital Fund II</t>
  </si>
  <si>
    <t>Growth Equity - Women's sports</t>
  </si>
  <si>
    <t>AC/ZG</t>
  </si>
  <si>
    <t>Next raise 2026</t>
  </si>
  <si>
    <t>Variant Interval Fund</t>
  </si>
  <si>
    <t>Diversified - private credit - UNSDG aligned</t>
  </si>
  <si>
    <t xml:space="preserve">DE </t>
  </si>
  <si>
    <t>Fall Line Farms Fund IV</t>
  </si>
  <si>
    <t>Private REIT - farmland</t>
  </si>
  <si>
    <t>US, potential INTL</t>
  </si>
  <si>
    <t>TD</t>
  </si>
  <si>
    <t>Likely 1H-2026</t>
  </si>
  <si>
    <t>Corbin Elevation Credit Fund</t>
  </si>
  <si>
    <t>Diversified - Credit - multi-theme</t>
  </si>
  <si>
    <t>DE/TD</t>
  </si>
  <si>
    <t>Maycomb Capital - Communities Outcome Fund II</t>
  </si>
  <si>
    <t>Recess Capital Fund I</t>
  </si>
  <si>
    <t>Integrated Best Ideas</t>
  </si>
  <si>
    <t>Impact 100%</t>
  </si>
  <si>
    <t>Climate Sustainability</t>
  </si>
  <si>
    <t>Inclusive Innovation</t>
  </si>
  <si>
    <t>Variant</t>
  </si>
  <si>
    <t>Corbin</t>
  </si>
  <si>
    <t>Blue Earth</t>
  </si>
  <si>
    <t>CIM (CELF)</t>
  </si>
  <si>
    <t>CIM (CEMCF)</t>
  </si>
  <si>
    <t>BASICS</t>
  </si>
  <si>
    <t>Name</t>
  </si>
  <si>
    <t>Impact Fund IMPCX</t>
  </si>
  <si>
    <t>Corbin Sustainability &amp; Engagement Fund</t>
  </si>
  <si>
    <t>CIM Enterprise Loan Fund, L.P.</t>
  </si>
  <si>
    <t>Community EM Credit Fund S.C.A., SICAV-RAIF (offshore) or Community EM Credit Fund I, L.P. (onshore)</t>
  </si>
  <si>
    <t>Fund Vehicle</t>
  </si>
  <si>
    <t xml:space="preserve">Interval closed-ended </t>
  </si>
  <si>
    <t>Lux SICAV</t>
  </si>
  <si>
    <t>open-ended</t>
  </si>
  <si>
    <t>open ended</t>
  </si>
  <si>
    <t>Vintage/Inception Date</t>
  </si>
  <si>
    <t>AUM/Capacity</t>
  </si>
  <si>
    <t>$91.7M/TBD</t>
  </si>
  <si>
    <t xml:space="preserve">$111M / $300M+ </t>
  </si>
  <si>
    <t>Tax Reporting</t>
  </si>
  <si>
    <t>TBD</t>
  </si>
  <si>
    <t>STRATEGY</t>
  </si>
  <si>
    <t>Asset Class/Instruments</t>
  </si>
  <si>
    <t>Credit Facility to bankruptcy remote SPV</t>
  </si>
  <si>
    <t>Primarily senior secured direct lending (10-20% subordinated debt)</t>
  </si>
  <si>
    <t>Alternative Credit - FinTech Lending</t>
  </si>
  <si>
    <t>Impact Themes</t>
  </si>
  <si>
    <t xml:space="preserve">Fin. Inclusion (32%), Eqtbl Growth (27%), Sustnblity (36%) </t>
  </si>
  <si>
    <t>Energy Transition, Comm Infrast., Econ Empwrmt, Health</t>
  </si>
  <si>
    <t>Social &amp; environmental impact (clean energy, circular economy, decarbonization, food &amp; ag, healthcare, education, financial services, SME growth).</t>
  </si>
  <si>
    <t xml:space="preserve">Provide loans to financial technology companies that target underserved borrowers and small businesses including women-owned, minority-owned, and veteran-owned. </t>
  </si>
  <si>
    <t>Provide loans to financial technology companies that target underserved borrowers - small business and low-income consumers</t>
  </si>
  <si>
    <t>Geography/Market Focus</t>
  </si>
  <si>
    <t>US, emerging markets</t>
  </si>
  <si>
    <t>US, developed markets</t>
  </si>
  <si>
    <t>Emerging markets (50-70%); Developed markets (30-50%)</t>
  </si>
  <si>
    <t xml:space="preserve">US - diversified regions/ portfolio includes retail, professional services, manufacturing, and construction.  </t>
  </si>
  <si>
    <t>Emerging Markets</t>
  </si>
  <si>
    <t>Stage/Type of Investees</t>
  </si>
  <si>
    <t>Short-duration</t>
  </si>
  <si>
    <t>FUND ECONOMICS</t>
  </si>
  <si>
    <t>Target Net Returns</t>
  </si>
  <si>
    <t>10 - 12% net return</t>
  </si>
  <si>
    <t>USD 3M SOFR + 5-7%</t>
  </si>
  <si>
    <t>Management Fee</t>
  </si>
  <si>
    <t>0.80%, quarterly; 10% incentive fee over 7% hurdle</t>
  </si>
  <si>
    <t>Tiered based on subscription amount: (i) sub $1m = 1.8%; (ii) $1-5m = 1.5%; (iii) $5-20m = 1.2%; (iv) $20m+ = 1%. No performance fee.</t>
  </si>
  <si>
    <t>1%, 6% preferred return, 20% carry after 5% return with a shared catch-up</t>
  </si>
  <si>
    <t>1.5%, 5% preferred return, 20% carry after 5% return with a shared catch-up</t>
  </si>
  <si>
    <t>Net expense ratio</t>
  </si>
  <si>
    <t>Minimum Investment</t>
  </si>
  <si>
    <t>$1M</t>
  </si>
  <si>
    <t>$5M / $10M</t>
  </si>
  <si>
    <t>100,000 Euros</t>
  </si>
  <si>
    <t>Net Return Since Inception</t>
  </si>
  <si>
    <t>11.2% (last 12 months)</t>
  </si>
  <si>
    <t>Target 8% Net Return</t>
  </si>
  <si>
    <t>Target 10% net return</t>
  </si>
  <si>
    <t>LIQUIDITY</t>
  </si>
  <si>
    <t>Subscriptions</t>
  </si>
  <si>
    <t>Daily</t>
  </si>
  <si>
    <t xml:space="preserve">Quarterly </t>
  </si>
  <si>
    <t>Monthly</t>
  </si>
  <si>
    <t>Redemptions/Notice</t>
  </si>
  <si>
    <t>90 calendar days notice</t>
  </si>
  <si>
    <t>Monthly with 30 day notice and 2.5% fund level gate</t>
  </si>
  <si>
    <t>Distributions</t>
  </si>
  <si>
    <t>Quarterly</t>
  </si>
  <si>
    <t>4-6% target yield, semi-annual</t>
  </si>
  <si>
    <t>Lock-up period</t>
  </si>
  <si>
    <t>2-year hard lock / NA</t>
  </si>
  <si>
    <t>None</t>
  </si>
  <si>
    <t>Withdrawals</t>
  </si>
  <si>
    <t>Quarterly, 180 days / annual, 90 days</t>
  </si>
  <si>
    <t>Gates</t>
  </si>
  <si>
    <t>5% gate / NA</t>
  </si>
  <si>
    <t>5% per quarter</t>
  </si>
  <si>
    <t>2.5% gate</t>
  </si>
  <si>
    <t>Research Tools</t>
  </si>
  <si>
    <t>Morningstar &amp; Sustainalytics</t>
  </si>
  <si>
    <t>Working w Amanda and Matt on this.</t>
  </si>
  <si>
    <t>Morningstar - ESG research - publications</t>
  </si>
  <si>
    <t>Link</t>
  </si>
  <si>
    <t>As You Sow - Fund analysis</t>
  </si>
  <si>
    <t>As You Sow - racial justice and equity report</t>
  </si>
  <si>
    <t>Parallelle Finance</t>
  </si>
  <si>
    <t>AI - general research</t>
  </si>
  <si>
    <t>general search</t>
  </si>
  <si>
    <t>Fund factsheets</t>
  </si>
  <si>
    <t>See below</t>
  </si>
  <si>
    <t>Short list of Funds for review (in green)</t>
  </si>
  <si>
    <t>Fund Name</t>
  </si>
  <si>
    <t>Ticker</t>
  </si>
  <si>
    <t>Region</t>
  </si>
  <si>
    <t>Cap Range</t>
  </si>
  <si>
    <t>Strategy Type</t>
  </si>
  <si>
    <t xml:space="preserve"> AUM (USD) </t>
  </si>
  <si>
    <t>AUM As-of</t>
  </si>
  <si>
    <t xml:space="preserve">1-yr </t>
  </si>
  <si>
    <t>Index</t>
  </si>
  <si>
    <t>Diff</t>
  </si>
  <si>
    <t>Category</t>
  </si>
  <si>
    <t>3-yr Ann. Return (%)</t>
  </si>
  <si>
    <t>5-yr Ann. Return (%)</t>
  </si>
  <si>
    <t>Returns As-of</t>
  </si>
  <si>
    <t>Quartile YTD;1-y;3-y;5-y</t>
  </si>
  <si>
    <t>Top 10 Holdings</t>
  </si>
  <si>
    <t>Social Themes</t>
  </si>
  <si>
    <t>Screens/Exclusions</t>
  </si>
  <si>
    <t>Engagement Highlights</t>
  </si>
  <si>
    <t>Frameworks/Labels</t>
  </si>
  <si>
    <t>Source - Social</t>
  </si>
  <si>
    <t>Nuveen Large Cap Responsible Equity</t>
  </si>
  <si>
    <t>TISCX</t>
  </si>
  <si>
    <t>Large Cap</t>
  </si>
  <si>
    <t>Active Value / Core</t>
  </si>
  <si>
    <t>40;64;64;64</t>
  </si>
  <si>
    <t>NVIDIA (8.74%); Microsoft (8.07%); JPMorgan (2.25%); Visa A (1.79%); Eli Lilly (1.75%); Netflix (1.58%); Mastercard A (1.56%); Costco (1.42%); Home Depot (1.39%); AMD (1.30%)</t>
  </si>
  <si>
    <t>Human capital; corporate ethics; product responsibility</t>
  </si>
  <si>
    <t>ESG criteria integrated; eligible companies must meet Nuveen RI guidelines</t>
  </si>
  <si>
    <t>Engagement and proxy voting via Nuveen’s RI team</t>
  </si>
  <si>
    <t>PRI signatory; Nuveen Responsible Investing policy</t>
  </si>
  <si>
    <t>https://www.nuveen.com/en-us/mutual-funds/nuveen-large-cap-responsible-equity-fund</t>
  </si>
  <si>
    <t>Nuveen Winslow Large-Cap Growth ESG</t>
  </si>
  <si>
    <t>NVLIX</t>
  </si>
  <si>
    <t>Large Cap Growth</t>
  </si>
  <si>
    <t>Active ESG growth</t>
  </si>
  <si>
    <t>77;66;29</t>
  </si>
  <si>
    <t>Microsoft (12.08%); NVIDIA (11.05%); Amazon.com (7.14%); Apple (5.77%); Meta Platforms A (4.71%); Broadcom (4.19%); Snowflake (3.10%); Visa A (3.00%); Mastercard A (2.87%); ServiceNow (2.63%)</t>
  </si>
  <si>
    <t>Human capital; corporate ethics; product responsibility; data privacy</t>
  </si>
  <si>
    <t>ESG integration with proprietary scoring; controversy review</t>
  </si>
  <si>
    <t>Company engagement on ESG best practices via Nuveen RI platform</t>
  </si>
  <si>
    <t>PRI signatory; Nuveen RI policy and internal data platform</t>
  </si>
  <si>
    <t>https://www.nuveen.com/en-us/mutual-funds/nuveen-winslow-large-cap-growth-esg-fund</t>
  </si>
  <si>
    <t>Impax Ellevate Global Women’s Leadership</t>
  </si>
  <si>
    <t>PXWIX</t>
  </si>
  <si>
    <t>Global</t>
  </si>
  <si>
    <t>Active gender lens</t>
  </si>
  <si>
    <t>83;56;73;82</t>
  </si>
  <si>
    <t>NVIDIA (6.77%); Microsoft (4.90%); Apple (4.29%); Broadcom (2.80%); Amazon.com (2.73%); JPMorgan (2.19%); Johnson &amp; Johnson (1.49%); Eli Lilly (1.38%); Citigroup (1.34%); AstraZeneca (1.34%)</t>
  </si>
  <si>
    <t>Capital is directed to companies with consistent representation of women in leadership roles and those that promote gender equity and diversity throughout their operations</t>
  </si>
  <si>
    <t> </t>
  </si>
  <si>
    <t>https://impaxam.com/products/gender-lens-investing/impax-global-womens-leadership-strategy/impax-ellevate-global-womens-leadership-fund/</t>
  </si>
  <si>
    <t>Impax Large Cap</t>
  </si>
  <si>
    <t>PXLIX</t>
  </si>
  <si>
    <t>Active ESG core</t>
  </si>
  <si>
    <t>50;77;85;78</t>
  </si>
  <si>
    <t>NVIDIA (9.8%); Microsoft (9.2%); Alphabet A (5.3%); Amazon.com (4.1%); JPMorgan (3.6%); Oracle (3.5%); eBay (3.2%); Apple (2.6%); Hubbell (2.5%); Danaher (2.3%)</t>
  </si>
  <si>
    <t>Product safety; data privacy; workforce practices; health outcomes; financial inclusion (where relevant)</t>
  </si>
  <si>
    <t>Norms-based screening; controversy review; sector screens as applicable to strategy</t>
  </si>
  <si>
    <t>Theme-based engagements under People/Governance; proxy voting integration</t>
  </si>
  <si>
    <t>Impax Sustainability Lens; UN SDG alignment (select metrics)</t>
  </si>
  <si>
    <t>https://impaxam.com/products/sustainability-lens-equities/</t>
  </si>
  <si>
    <t>Calvert Equity Fund I*</t>
  </si>
  <si>
    <t>CEYIX</t>
  </si>
  <si>
    <t>All Cap (tilt large)</t>
  </si>
  <si>
    <t>94;98;100</t>
  </si>
  <si>
    <t>Microsoft (4.82%); Alphabet C (4.79%); Mastercard (4.64%); Visa (4.64%); Danaher (4.48%); Thermo Fisher (4.24%); Amphenol (4.10%); Intuit (4.09%); S&amp;P Global (3.97%); Verisk (3.78%)</t>
  </si>
  <si>
    <t>Human rights; worker safety; diversity &amp; inclusion; product safety; data privacy</t>
  </si>
  <si>
    <t>Norms-based screening per Calvert Principles; controversies-based exclusions</t>
  </si>
  <si>
    <t>Structured engagements on human capital, supply chain labor, and human rights; proxy voting aligned with Calvert Principles</t>
  </si>
  <si>
    <t>Calvert Principles for Responsible Investment</t>
  </si>
  <si>
    <t>https://professionals.calvert.com/media/34498.pdf</t>
  </si>
  <si>
    <t>Parnassus Core Equity**</t>
  </si>
  <si>
    <t>PRILX</t>
  </si>
  <si>
    <t>81;80;68;74</t>
  </si>
  <si>
    <t>Microsoft (6.88%); NVIDIA (6.36%); Amazon.com (6.04%); Alphabet A (4.53%); Deere (3.98%); Waste Management (3.67%); Intercontinental Exchange (3.41%); Danaher (3.29%); Broadcom (3.22%); Mastercard A (2.97%)</t>
  </si>
  <si>
    <t>Human capital; product responsibility; data privacy; community impact</t>
  </si>
  <si>
    <t>Fossil-fuel free policy (firm-wide)</t>
  </si>
  <si>
    <t>Firm-wide stewardship in 2024–25: 76 company engagements (themes included climate &amp; water risk, chemical safety, responsible AI, governance/human capital)</t>
  </si>
  <si>
    <t>UN PRI signatory (since 2008); climate plan aligned with the Paris Agreement; new engagement-based net-zero by 2050</t>
  </si>
  <si>
    <t>https://www.parnassus.com/parnassus-mutual-funds/core-equity/investor-shares</t>
  </si>
  <si>
    <t>Nia Impact Solutions***</t>
  </si>
  <si>
    <t>NIAGX</t>
  </si>
  <si>
    <t>All Cap</t>
  </si>
  <si>
    <t>Active impact (social &amp; gender lens)</t>
  </si>
  <si>
    <t xml:space="preserve"> N/A </t>
  </si>
  <si>
    <t>38; 60; 88; NA</t>
  </si>
  <si>
    <t>First American Government Obligations X ~6.5%; Stantec ~3.7%; Stride (K12) ~3.7%; SAP ADR ~3.3%; TSMC ADR ~3.2%; Fortinet ~3.2%; IBM ~3.1%; AECOM ~2.8%; Schneider Electric ADR ~2.8%; Flex Ltd ~2.7%</t>
  </si>
  <si>
    <t>Six Solution Themes incl. Sustainable Planet; Smart &amp; Sustainable Transportation; Affordable &amp; Inclusive Housing; Sustainable and Regenerative Food &amp; Agriculture; Healthy People; Inclusive Finance; plus diversity in leadership</t>
  </si>
  <si>
    <t>Excludes harmful industries; positive thematic selection aligned to Six Solution Themes</t>
  </si>
  <si>
    <t>Company engagement focused on racial and gender equity, supply chain practices, and access outcomes</t>
  </si>
  <si>
    <t>Gender lens; UN SDGs referenced</t>
  </si>
  <si>
    <t>https://www.niaimpactcapital.com/invest</t>
  </si>
  <si>
    <t>Boston Trust Walden Equity*</t>
  </si>
  <si>
    <t>WSEFX</t>
  </si>
  <si>
    <t>Large Cap Core</t>
  </si>
  <si>
    <t>US Large Blend (active)</t>
  </si>
  <si>
    <t>91;91;95;93</t>
  </si>
  <si>
    <t>Microsoft (10.54%); Apple (9.02%); Alphabet C (6.33%); JPMorgan (5.14%); Visa A (4.09%); Alphabet A (3.94%); NVIDIA (3.29%); ConocoPhillips (2.92%); Chubb (2.55%); AutoZone (2.51%)</t>
  </si>
  <si>
    <t>Human rights; DEI; responsible sales &amp; marketing; community investment</t>
  </si>
  <si>
    <t>Values &amp; norms-based screens; controversy review</t>
  </si>
  <si>
    <t>Longstanding shareholder engagement (Walden legacy) incl. DEI, human rights, political spending</t>
  </si>
  <si>
    <t>PRI signatory; publishes proxy voting records</t>
  </si>
  <si>
    <t>https://www.bostontrustwalden.com/strategies-funds/mutual-funds/boston-trust-walden-equity-fund/</t>
  </si>
  <si>
    <t>Adasina Social Justice All Cap Global ETF*</t>
  </si>
  <si>
    <t>JSTC</t>
  </si>
  <si>
    <t>All Cap (WB)</t>
  </si>
  <si>
    <t>ETF (index with active social justice screens)</t>
  </si>
  <si>
    <t>90;83;88; NA</t>
  </si>
  <si>
    <t>NVIDIA 2.74%; Lam Research 2.25%; Visa A 1.73%; Mastercard A 1.54%; NXP Semiconductors 1.40%; AT&amp;T 1.37%; Netflix 1.21%; Merck 1.12%; Automatic Data Processing 1.07%; Nasdaq 0.98%</t>
  </si>
  <si>
    <t>Racial justice; gender justice; economic justice; climate justice</t>
  </si>
  <si>
    <t>Adasina Social Justice Investment Criteria; extensive screens incl. prisons, predatory inclusion, harmful lending, fossil fuels, weapons</t>
  </si>
  <si>
    <t>Community-sourced data &amp; advocacy partnerships; transparency via datasets and impact reporting</t>
  </si>
  <si>
    <t>Adasina Social Justice Index; community-sourced datasets</t>
  </si>
  <si>
    <t>https://adasinaetf.com/</t>
  </si>
  <si>
    <t>Boston Common ESG Impact US**</t>
  </si>
  <si>
    <t>BCAMX</t>
  </si>
  <si>
    <t>LC Blend</t>
  </si>
  <si>
    <t>Active Large Blend</t>
  </si>
  <si>
    <t xml:space="preserve">                 -  </t>
  </si>
  <si>
    <t>73;60;61;69</t>
  </si>
  <si>
    <t>MSFT (8.39%); NVDA (6.58%); AAPL (5.71%); Goog (4.78); Netflix (4.49%); Broadcom (4.37%); Visa (3.65%); Booking Holdings (2.87%); First American Funds - Treasury Obligation (2.78%); Eli Lilly (2.68%)</t>
  </si>
  <si>
    <t>Neuberger Berman - Quality Equity Fund*</t>
  </si>
  <si>
    <t>NBSRX</t>
  </si>
  <si>
    <t>85;47;27;35</t>
  </si>
  <si>
    <t>Googl (9.32%); Amzn (8.90%); MSFT (8.56%); Interactive Brokers Group (5.92%); Berkshire Hathaway (4.49%); Kyndryl Holdings (4.48%); Mastercard (4.05%); United Rentals (2.81%); GoDaddy (2.79%); Applied Materials (2.44%)</t>
  </si>
  <si>
    <t>Impact Shares NAACP Minority Empowerment ETF</t>
  </si>
  <si>
    <t>NACP</t>
  </si>
  <si>
    <t>Large Blend</t>
  </si>
  <si>
    <t>ETF Large Value</t>
  </si>
  <si>
    <t>8;8;9;16</t>
  </si>
  <si>
    <t>Nvda (5.56%); AAPLE (5.27%); MSFT (5.02%); AMZn (4.93%); meta (4.0%); tsla (3.85%); IBM (3.57%); Uber (3.17%); Google (3.01%); Qualcom (2.76%)</t>
  </si>
  <si>
    <t>Trillium**</t>
  </si>
  <si>
    <t>PORTX</t>
  </si>
  <si>
    <t>Active Large blend</t>
  </si>
  <si>
    <t>80;82;82</t>
  </si>
  <si>
    <t>msft (6.37%); nvda (5.71%); googl (4.55%); aapl (2.79%); visa (2.4%); Taiwan Semiconductor (2.21%); Bank of NY Mellon (1.72%); TJX Companies (1.69%); Interncontinental Exchange (1.67%); Northern Inst Funds (1.64%)</t>
  </si>
  <si>
    <t>* Scores "B" or higher on AYS for "Prision Free funds"</t>
  </si>
  <si>
    <t>** Scores "B" or higher on all AYS themes - fossil fuel, deforestration, gender, firearms, prision, militiary weapons, tobacco</t>
  </si>
  <si>
    <t>*** Scores "A" on AYS except for Gender</t>
  </si>
  <si>
    <t>Adasina</t>
  </si>
  <si>
    <t>Nia Impact Capital</t>
  </si>
  <si>
    <t>Trillium Asset Management</t>
  </si>
  <si>
    <t>AMG Boston Common Global Impact</t>
  </si>
  <si>
    <t>Neuberger Berman - Quality Equity Fund</t>
  </si>
  <si>
    <t>Boston Common</t>
  </si>
  <si>
    <t>Calvert Diversity, Equity and Inclusion Index ETF</t>
  </si>
  <si>
    <t>Calvert Diversity, Equity and Inclusion Fund - Global</t>
  </si>
  <si>
    <t>iShares Refinitiv Inclusion and Diversity UCITS ETF</t>
  </si>
  <si>
    <t>Impax - Global Social Leaders Fund</t>
  </si>
  <si>
    <t>Brown Advisory Global Leaders Inst</t>
  </si>
  <si>
    <t>Frontier MFG Global Sustainable Inst</t>
  </si>
  <si>
    <t xml:space="preserve">Fidelity Women's Leadership Fund </t>
  </si>
  <si>
    <t>Impax Ellevate Global Women's Leadership Fund</t>
  </si>
  <si>
    <t xml:space="preserve">Parnassus Core Equity Fund </t>
  </si>
  <si>
    <t>Democratic LC Core ETF</t>
  </si>
  <si>
    <t>Boston Trust Walden Equity</t>
  </si>
  <si>
    <t>Domini Impact Equity</t>
  </si>
  <si>
    <t>Nuveen LC Resposible Equity</t>
  </si>
  <si>
    <t>Nuveen Winslow LC Growth ESG</t>
  </si>
  <si>
    <t>Description</t>
  </si>
  <si>
    <t>Invests in a wide mix of global companies screened for social justice issues, as identified by community partners</t>
  </si>
  <si>
    <t>Invests in a smaller set of companies creating solutions to social and environmental problems with a gender and systems lens</t>
  </si>
  <si>
    <t>Invests in global companies with strong ESG practices and drives impact through shareholder advocacy</t>
  </si>
  <si>
    <t>High conviction; Quality at a reasonable price approah; Centered on corporate ESG policies, including equitable workplace policies, particularly for women and minorities, and constructive community relationships. we seek to achieve attractive performance with lower volatility over a market cycle by investing in high-quality companies as per our investment process, philosophy and Sustainable Investment Criteria</t>
  </si>
  <si>
    <t>composed of companies that operate their businesses in a manner that is consistent with the Calvert Principles and are selected from the universe of the 1,000 largest publicly traded US companies by market capitalization. As described in the Index Methodology and as determined by Calvert, Index components must meet certain criteria relating to leadership in having a diverse workforce and an equal and inclusive work culture, or demonstrate significant improvement in diversity practices</t>
  </si>
  <si>
    <t>NACP tracks the Morningstar Minority Empowerment Index, which is designed to provide exposure to large- and mid-cap US companies with strong racial and ethnic diversity policies in place, empowering employees irrespective of their race or nationality.</t>
  </si>
  <si>
    <t>advance DEI, measured in USD, investing in companies that demonstrate leadership or meaningful improvement in having a diverse workforce and an equal and inclusive work culture.</t>
  </si>
  <si>
    <t>Tracks the Refinitiv Global Large/Mid Diversity &amp; Inclusive excluding Controversial Weapon Equal Weight Total Return Index. Using proprietary scores, the index holds 100 top-ranked companies for diversity, inclusion, people development, and low controversies.</t>
  </si>
  <si>
    <t>The Impax Global Social Leaders strategy seeks to outperform the broad market by investing in companies addressing long-term secular trends that are shaping society, such as aging population, increased incidence of chronic disease, rising income for the bottom billions, urbanization, and transformational technology, and by investing in companies that exhibit innovative, equitable and inclusive cultures.</t>
  </si>
  <si>
    <t>Sustainable mandate</t>
  </si>
  <si>
    <t>active managed fund that invests in companies prioritizing women's leadership and development</t>
  </si>
  <si>
    <t>focused on ESG leaders, including those with inclusive workplace policies.</t>
  </si>
  <si>
    <t>A company is considered eligible for investment if the company’s own contributions and those of its senior executives comprise an average of 75% or more of their total documented contributions to Democratic candidates and political action committees.</t>
  </si>
  <si>
    <t>Thematic Focus</t>
  </si>
  <si>
    <t>Racial, gender, economic, and climate justice; movement-aligned</t>
  </si>
  <si>
    <t>Gender, racial, environmental justice; systems change</t>
  </si>
  <si>
    <t>ESG + advocacy; strong on climate, DEI, human rights</t>
  </si>
  <si>
    <t xml:space="preserve">Quality - strong free cash flow and management track record; patient and active ownership </t>
  </si>
  <si>
    <t>Postive scores in As You Sow</t>
  </si>
  <si>
    <t>Gender equity</t>
  </si>
  <si>
    <t>Democratic candiates and causes</t>
  </si>
  <si>
    <t>Product of Interest</t>
  </si>
  <si>
    <t>ETF: JSTC</t>
  </si>
  <si>
    <t>Mutual Fund: NIAGX</t>
  </si>
  <si>
    <t>Mutual fund: PORTX</t>
  </si>
  <si>
    <t>Mutual fund: BRWIX</t>
  </si>
  <si>
    <t>Mutual fund: NBSRX</t>
  </si>
  <si>
    <t>Mutual fund: BCAMX</t>
  </si>
  <si>
    <t>ETF: CDEI; CUSIP 61774R304</t>
  </si>
  <si>
    <t>ETF: NACP</t>
  </si>
  <si>
    <t>CUSIP: L6486L274; Share class A: Luxembourg SICAV</t>
  </si>
  <si>
    <t>Open: LN; TRDIGXFN - domiciled: Ireland</t>
  </si>
  <si>
    <t>Symbol: IGSIX; CUSIP: 704223411, Min: $250K</t>
  </si>
  <si>
    <t>BAFWX</t>
  </si>
  <si>
    <t>FMSGX</t>
  </si>
  <si>
    <t>FWOMX</t>
  </si>
  <si>
    <t>pxwex</t>
  </si>
  <si>
    <t>DEMZ</t>
  </si>
  <si>
    <t>DSEFX</t>
  </si>
  <si>
    <t>Benchmark/Index (MnStr)</t>
  </si>
  <si>
    <t>MSCI ACWI (Prospectus - DJ Global Index)</t>
  </si>
  <si>
    <t>MSCI ACWI (Factsheet - MSCI ACWI IMI</t>
  </si>
  <si>
    <t>MSCI ACWI</t>
  </si>
  <si>
    <t>S&amp;P 500 TR USD</t>
  </si>
  <si>
    <t>Russell 1000 (from fund)</t>
  </si>
  <si>
    <t>MnStr US Large-Mid Cap Index</t>
  </si>
  <si>
    <t>MSCI World Index Net Index (USD)</t>
  </si>
  <si>
    <t>MSCI AC World Index</t>
  </si>
  <si>
    <t>MSCI ACWI NR USD</t>
  </si>
  <si>
    <t>US Large Cap</t>
  </si>
  <si>
    <t>Inception Date</t>
  </si>
  <si>
    <t xml:space="preserve">Net Assets  </t>
  </si>
  <si>
    <t>~$246M</t>
  </si>
  <si>
    <t>&lt;$100M</t>
  </si>
  <si>
    <t>~$800M</t>
  </si>
  <si>
    <t>~$634M</t>
  </si>
  <si>
    <t>~$1.8B</t>
  </si>
  <si>
    <t>~$72.15M</t>
  </si>
  <si>
    <t>~$19.32M</t>
  </si>
  <si>
    <t>$56.5M</t>
  </si>
  <si>
    <t>~$8.09M</t>
  </si>
  <si>
    <t>$31.8M</t>
  </si>
  <si>
    <t>$266M</t>
  </si>
  <si>
    <t>$1.1B</t>
  </si>
  <si>
    <t>YTD Return (Aug 31-2025)</t>
  </si>
  <si>
    <t>11.04% (NAV)</t>
  </si>
  <si>
    <t>8.15% (1-yr 12.67%)</t>
  </si>
  <si>
    <t>Q2/2025 = 7.47%</t>
  </si>
  <si>
    <t>Not a fit</t>
  </si>
  <si>
    <t>Benchmark: 14.16%</t>
  </si>
  <si>
    <t>Benchmark: 14.16</t>
  </si>
  <si>
    <t>Benchmark: 10.93%</t>
  </si>
  <si>
    <t>Benchmark: 6.36%</t>
  </si>
  <si>
    <t>Benchmark: 13.78%</t>
  </si>
  <si>
    <t>(Category: 13.05%)</t>
  </si>
  <si>
    <t>(Category: 9.83%)</t>
  </si>
  <si>
    <t>(Category: 5.74%)</t>
  </si>
  <si>
    <t>(Category: %)</t>
  </si>
  <si>
    <t>Net Expense Ratio</t>
  </si>
  <si>
    <t>Impact Strategy Implementation</t>
  </si>
  <si>
    <t>Community-sourced criteria + datasets; investor mobilization; campaigns on arbitration, wages, incarceration, etc.</t>
  </si>
  <si>
    <t>Shareholder advocacy and engagement, corporate accountability, policy influence, narrative shift</t>
  </si>
  <si>
    <t>Long history of active ESG advocacy; company engagement</t>
  </si>
  <si>
    <t>Long history of active ESG (1940s); company engagement</t>
  </si>
  <si>
    <t>Alignment with the NAACP's vision of equality before the law &amp; fair play everywhere. Built on research from Sustainalytics and informed by the NAACP's Racial Equity Industry Report Cards.</t>
  </si>
  <si>
    <t>Portfolio Construction/Category</t>
  </si>
  <si>
    <t>Global all-cap equity; 80+ social justice screens; diversified</t>
  </si>
  <si>
    <t>U.S. all-cap equity; concentrated; activist tilt</t>
  </si>
  <si>
    <t>Global diversified equity; active ESG integration; risk-aware</t>
  </si>
  <si>
    <t>Global large-stock blend</t>
  </si>
  <si>
    <t>U.S. Large Cap Blend</t>
  </si>
  <si>
    <t>US Large Blend - ETF</t>
  </si>
  <si>
    <t>EAA Fund Global, LC Blend</t>
  </si>
  <si>
    <t>Global LC Blend</t>
  </si>
  <si>
    <t>International equity, Global Large Growth</t>
  </si>
  <si>
    <t># companies</t>
  </si>
  <si>
    <t>500 – 600 companies</t>
  </si>
  <si>
    <t>25 – 55 companies</t>
  </si>
  <si>
    <t>80 – 100 companies</t>
  </si>
  <si>
    <t>35-45</t>
  </si>
  <si>
    <t>~200</t>
  </si>
  <si>
    <t>35-55</t>
  </si>
  <si>
    <t>Advantages</t>
  </si>
  <si>
    <t xml:space="preserve">Scalable ETF structure; deep movement alignment; strong datasets; lower volatility </t>
  </si>
  <si>
    <t>High conviction, mission-first; strong voice in advocacy</t>
  </si>
  <si>
    <t>historical track record; large team; institutional infrastructure</t>
  </si>
  <si>
    <t>Solid performance; long ESG track record, institutional infrastructure; PM history</t>
  </si>
  <si>
    <t xml:space="preserve">historical track record; thematic alignment; </t>
  </si>
  <si>
    <t>Disadvantages / Risks</t>
  </si>
  <si>
    <t xml:space="preserve">Small team; new product; benchmark mismatch; doesn't report against a benchmark; limited performance history; </t>
  </si>
  <si>
    <t>Capacity constraints; concentrated portfolio; succession risk</t>
  </si>
  <si>
    <t>May feel less “cutting-edge”; perceived as more traditional ESG</t>
  </si>
  <si>
    <t>Complete team turnover March 2021; Poor performance</t>
  </si>
  <si>
    <t>perceived as more traditional ESG; lack of diversity at fund management and firm level</t>
  </si>
  <si>
    <t>Minimal track record; AUM too low; Parent company is not seeing as strong ESG supporters.</t>
  </si>
  <si>
    <t>Lacks conviction; overweight tech (all Mag7); PMs less than 2 yrs w fund</t>
  </si>
  <si>
    <t>Owned by Blackrock</t>
  </si>
  <si>
    <t>Minimal track record</t>
  </si>
  <si>
    <t>Parent Company</t>
  </si>
  <si>
    <t>Independent, employee owned</t>
  </si>
  <si>
    <t>AMG</t>
  </si>
  <si>
    <t>Morgan Stanley</t>
  </si>
  <si>
    <t>Tidel Investments/Impact Shares</t>
  </si>
  <si>
    <t>Blackrock</t>
  </si>
  <si>
    <t>Impax - International Finance Corp</t>
  </si>
  <si>
    <t>Performance compared to benchmark/index (since 09/31/25)</t>
  </si>
  <si>
    <t>1-yr -5.5% and 3-yr is -5.33%; Since Incep: -1.21%</t>
  </si>
  <si>
    <t>1-yr: -5.25%; 3-yr: -6.78%</t>
  </si>
  <si>
    <t>1-yr: -8.21%; 3-yr: -5.24; 5-yr: -2.92; 10-yr -0.63%</t>
  </si>
  <si>
    <t>1-yr: -10.55; 3-yr: -9.13%; 5-yr: -6.94%; 10-yr: -2.58%</t>
  </si>
  <si>
    <r>
      <t xml:space="preserve">1-yr is -0.84; </t>
    </r>
    <r>
      <rPr>
        <sz val="10"/>
        <color rgb="FF4EA72E"/>
        <rFont val="Aptos Narrow"/>
        <family val="2"/>
      </rPr>
      <t>3-yr: +0.69; 5-yr: +0.33</t>
    </r>
    <r>
      <rPr>
        <sz val="10"/>
        <color rgb="FF000000"/>
        <rFont val="Aptos Narrow"/>
        <family val="2"/>
      </rPr>
      <t>; 10-yr: -1.61</t>
    </r>
  </si>
  <si>
    <t>1-yr: -2.73; 3-yr: -1.54; 5-yr: -2.18; 10-yr: -2.44</t>
  </si>
  <si>
    <t>1-yr: -3.73%</t>
  </si>
  <si>
    <t>1-yr: +1.51; 3-yr: +0.71%; 5-yr: -0.23%</t>
  </si>
  <si>
    <t>1-yr: -4.88%; 3-yr: -2.17%</t>
  </si>
  <si>
    <t>1-yr: -7.76%</t>
  </si>
  <si>
    <t>1 yr: 3.35; 3-yr: 2.69; 5-yr: -1.68</t>
  </si>
  <si>
    <t>Benchmark/Index in Prospectus</t>
  </si>
  <si>
    <t>Not available</t>
  </si>
  <si>
    <r>
      <t xml:space="preserve">MSCI: 1-yr: </t>
    </r>
    <r>
      <rPr>
        <sz val="10"/>
        <color rgb="FF4EA72E"/>
        <rFont val="Aptos Narrow"/>
        <family val="2"/>
      </rPr>
      <t>+1.99%</t>
    </r>
    <r>
      <rPr>
        <sz val="10"/>
        <color rgb="FF000000"/>
        <rFont val="Aptos Narrow"/>
        <family val="2"/>
      </rPr>
      <t>; 3-yr: -5.14%; Incep: -3.6%</t>
    </r>
  </si>
  <si>
    <t>same</t>
  </si>
  <si>
    <t>Russell 1000 : 1-yr: -3.58;  Incep: -1.98%</t>
  </si>
  <si>
    <t>Factsheet</t>
  </si>
  <si>
    <t>Other</t>
  </si>
  <si>
    <t>Link - quarterly results are positive</t>
  </si>
  <si>
    <t>BH</t>
  </si>
  <si>
    <t>Acre Capital Export Finance Fund I</t>
  </si>
  <si>
    <t>Cataltic - Credit - Sovereign Debt</t>
  </si>
  <si>
    <t>H1 2026</t>
  </si>
  <si>
    <t>Lumos Growth</t>
  </si>
  <si>
    <t>DCVC Climate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</si>
</sst>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9" x14ac:knownFonts="1">
    <font>
      <sz val="11"/>
      <color theme="1"/>
      <name val="Arial Nova"/>
      <family val="2"/>
      <scheme val="minor"/>
    </font>
    <font>
      <b/>
      <sz val="11"/>
      <color theme="1"/>
      <name val="Arial Nova"/>
      <family val="2"/>
      <scheme val="minor"/>
    </font>
    <font>
      <sz val="8"/>
      <name val="Arial Nova"/>
      <family val="2"/>
      <scheme val="minor"/>
    </font>
    <font>
      <u/>
      <sz val="11"/>
      <color theme="10"/>
      <name val="Arial Nova"/>
      <family val="2"/>
      <scheme val="minor"/>
    </font>
    <font>
      <sz val="11"/>
      <color rgb="FF000000"/>
      <name val="Aptos Narrow"/>
      <family val="2"/>
    </font>
    <font>
      <b/>
      <sz val="10"/>
      <color rgb="FF000000"/>
      <name val="Aptos Narrow"/>
      <family val="2"/>
    </font>
    <font>
      <b/>
      <sz val="10"/>
      <color rgb="FF111111"/>
      <name val="Aptos Narrow"/>
      <family val="2"/>
    </font>
    <font>
      <sz val="10"/>
      <color rgb="FF000000"/>
      <name val="Aptos Narrow"/>
      <family val="2"/>
    </font>
    <font>
      <sz val="10"/>
      <name val="Aptos Narrow"/>
      <family val="2"/>
    </font>
    <font>
      <sz val="10"/>
      <color rgb="FFFF0000"/>
      <name val="Aptos Narrow"/>
      <family val="2"/>
    </font>
    <font>
      <sz val="11"/>
      <color rgb="FFFF0000"/>
      <name val="Aptos Narrow"/>
      <family val="2"/>
    </font>
    <font>
      <sz val="10"/>
      <color rgb="FF4EA72E"/>
      <name val="Aptos Narrow"/>
      <family val="2"/>
    </font>
    <font>
      <sz val="10"/>
      <color rgb="FF3C7D22"/>
      <name val="Aptos Narrow"/>
      <family val="2"/>
    </font>
    <font>
      <b/>
      <u/>
      <sz val="11"/>
      <color theme="1"/>
      <name val="Arial Nova"/>
      <family val="2"/>
      <scheme val="minor"/>
    </font>
    <font>
      <b/>
      <sz val="11"/>
      <color theme="1"/>
      <name val="Aptos Narrow"/>
      <family val="2"/>
    </font>
    <font>
      <sz val="11"/>
      <color theme="1"/>
      <name val="Arial Nova"/>
      <family val="2"/>
      <scheme val="minor"/>
    </font>
    <font>
      <b/>
      <sz val="11"/>
      <color rgb="FF000000"/>
      <name val="Aptos Narrow"/>
      <family val="2"/>
    </font>
    <font>
      <sz val="11"/>
      <name val="Aptos Narrow"/>
      <family val="2"/>
    </font>
    <font>
      <b/>
      <sz val="10"/>
      <color theme="1"/>
      <name val="Aptos Narrow"/>
      <family val="2"/>
    </font>
  </fonts>
  <fills count="6">
    <fill>
      <patternFill patternType="none"/>
    </fill>
    <fill>
      <patternFill patternType="gray125"/>
    </fill>
    <fill>
      <patternFill patternType="solid">
        <fgColor theme="0"/>
        <bgColor indexed="64"/>
      </patternFill>
    </fill>
    <fill>
      <patternFill patternType="solid">
        <fgColor rgb="FFDAF2D0"/>
        <bgColor rgb="FF000000"/>
      </patternFill>
    </fill>
    <fill>
      <patternFill patternType="solid">
        <fgColor theme="2" tint="-0.249977111117893"/>
        <bgColor indexed="64"/>
      </patternFill>
    </fill>
    <fill>
      <patternFill patternType="solid">
        <fgColor rgb="FFDCF2D3"/>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s>
  <cellStyleXfs count="3">
    <xf numFmtId="0" fontId="0" fillId="0" borderId="0"/>
    <xf numFmtId="0" fontId="3" fillId="0" borderId="0" applyNumberFormat="0" applyFill="0" applyBorder="0" applyAlignment="0" applyProtection="0"/>
    <xf numFmtId="43" fontId="15" fillId="0" borderId="0" applyFont="0" applyFill="0" applyBorder="0" applyAlignment="0" applyProtection="0"/>
  </cellStyleXfs>
  <cellXfs count="92">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wrapText="1"/>
    </xf>
    <xf numFmtId="10" fontId="0" fillId="0" borderId="0" xfId="0" applyNumberFormat="1" applyAlignment="1">
      <alignment horizontal="center" wrapText="1"/>
    </xf>
    <xf numFmtId="0" fontId="4" fillId="0" borderId="0" xfId="0" applyFont="1"/>
    <xf numFmtId="0" fontId="7" fillId="0" borderId="0" xfId="0" applyFont="1" applyAlignment="1">
      <alignment wrapText="1"/>
    </xf>
    <xf numFmtId="0" fontId="7" fillId="0" borderId="0" xfId="0" applyFont="1"/>
    <xf numFmtId="0" fontId="13" fillId="0" borderId="0" xfId="0" applyFont="1"/>
    <xf numFmtId="0" fontId="5"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7" fillId="0" borderId="1" xfId="0" applyFont="1" applyBorder="1"/>
    <xf numFmtId="0" fontId="4" fillId="0" borderId="1" xfId="0" applyFont="1" applyBorder="1"/>
    <xf numFmtId="0" fontId="8" fillId="0" borderId="1" xfId="0" applyFont="1" applyBorder="1" applyAlignment="1">
      <alignment wrapText="1"/>
    </xf>
    <xf numFmtId="16" fontId="7" fillId="0" borderId="1" xfId="0" applyNumberFormat="1" applyFont="1" applyBorder="1" applyAlignment="1">
      <alignment wrapText="1"/>
    </xf>
    <xf numFmtId="17" fontId="7" fillId="0" borderId="1" xfId="0" applyNumberFormat="1" applyFont="1" applyBorder="1" applyAlignment="1">
      <alignment wrapText="1"/>
    </xf>
    <xf numFmtId="16" fontId="9" fillId="0" borderId="1" xfId="0" applyNumberFormat="1" applyFont="1" applyBorder="1" applyAlignment="1">
      <alignment wrapText="1"/>
    </xf>
    <xf numFmtId="14" fontId="7" fillId="0" borderId="1" xfId="0" applyNumberFormat="1" applyFont="1" applyBorder="1"/>
    <xf numFmtId="16" fontId="10" fillId="0" borderId="1" xfId="0" applyNumberFormat="1" applyFont="1" applyBorder="1"/>
    <xf numFmtId="0" fontId="9" fillId="0" borderId="1" xfId="0" applyFont="1" applyBorder="1"/>
    <xf numFmtId="0" fontId="12" fillId="0" borderId="1" xfId="0" applyFont="1" applyBorder="1" applyAlignment="1">
      <alignment wrapText="1"/>
    </xf>
    <xf numFmtId="0" fontId="3" fillId="0" borderId="1" xfId="1" applyFill="1" applyBorder="1" applyAlignment="1"/>
    <xf numFmtId="0" fontId="7" fillId="0" borderId="3" xfId="0" applyFont="1" applyBorder="1" applyAlignment="1">
      <alignment wrapText="1"/>
    </xf>
    <xf numFmtId="0" fontId="9" fillId="0" borderId="3" xfId="0" applyFont="1" applyBorder="1" applyAlignment="1">
      <alignment wrapText="1"/>
    </xf>
    <xf numFmtId="0" fontId="7" fillId="0" borderId="3" xfId="0" applyFont="1" applyBorder="1"/>
    <xf numFmtId="0" fontId="4" fillId="0" borderId="3" xfId="0" applyFont="1" applyBorder="1"/>
    <xf numFmtId="10" fontId="7" fillId="0" borderId="4" xfId="0" applyNumberFormat="1" applyFont="1" applyBorder="1" applyAlignment="1">
      <alignment wrapText="1"/>
    </xf>
    <xf numFmtId="10" fontId="7" fillId="0" borderId="4" xfId="0" applyNumberFormat="1" applyFont="1" applyBorder="1"/>
    <xf numFmtId="0" fontId="7" fillId="0" borderId="4" xfId="0" applyFont="1" applyBorder="1"/>
    <xf numFmtId="10" fontId="4" fillId="0" borderId="4" xfId="0" applyNumberFormat="1" applyFont="1" applyBorder="1"/>
    <xf numFmtId="0" fontId="7" fillId="0" borderId="5" xfId="0" applyFont="1" applyBorder="1" applyAlignment="1">
      <alignment wrapText="1"/>
    </xf>
    <xf numFmtId="10" fontId="7" fillId="0" borderId="6" xfId="0" applyNumberFormat="1" applyFont="1" applyBorder="1" applyAlignment="1">
      <alignment wrapText="1"/>
    </xf>
    <xf numFmtId="10" fontId="7" fillId="0" borderId="6" xfId="0" applyNumberFormat="1" applyFont="1" applyBorder="1"/>
    <xf numFmtId="0" fontId="7" fillId="0" borderId="6" xfId="0" applyFont="1" applyBorder="1" applyAlignment="1">
      <alignment wrapText="1"/>
    </xf>
    <xf numFmtId="0" fontId="7" fillId="0" borderId="6" xfId="0" applyFont="1" applyBorder="1"/>
    <xf numFmtId="10" fontId="4" fillId="0" borderId="7" xfId="0" applyNumberFormat="1" applyFont="1" applyBorder="1"/>
    <xf numFmtId="0" fontId="7" fillId="0" borderId="8" xfId="0" applyFont="1" applyBorder="1" applyAlignment="1">
      <alignment wrapText="1"/>
    </xf>
    <xf numFmtId="10" fontId="4" fillId="0" borderId="9" xfId="0" applyNumberFormat="1" applyFont="1" applyBorder="1"/>
    <xf numFmtId="0" fontId="7" fillId="0" borderId="10" xfId="0" applyFont="1" applyBorder="1" applyAlignment="1">
      <alignment wrapText="1"/>
    </xf>
    <xf numFmtId="0" fontId="7" fillId="0" borderId="11" xfId="0" applyFont="1" applyBorder="1" applyAlignment="1">
      <alignment wrapText="1"/>
    </xf>
    <xf numFmtId="0" fontId="7" fillId="0" borderId="11" xfId="0" applyFont="1" applyBorder="1"/>
    <xf numFmtId="0" fontId="4" fillId="0" borderId="12" xfId="0" applyFont="1" applyBorder="1"/>
    <xf numFmtId="0" fontId="9" fillId="0" borderId="6" xfId="0" applyFont="1" applyBorder="1"/>
    <xf numFmtId="0" fontId="3" fillId="0" borderId="0" xfId="1" applyFill="1" applyBorder="1" applyAlignment="1"/>
    <xf numFmtId="0" fontId="5" fillId="0" borderId="13" xfId="0" applyFont="1" applyBorder="1" applyAlignment="1">
      <alignment wrapText="1"/>
    </xf>
    <xf numFmtId="0" fontId="5" fillId="0" borderId="14" xfId="0" applyFont="1" applyBorder="1" applyAlignment="1">
      <alignment wrapText="1"/>
    </xf>
    <xf numFmtId="0" fontId="4" fillId="0" borderId="15" xfId="0" applyFont="1" applyBorder="1"/>
    <xf numFmtId="0" fontId="7" fillId="0" borderId="16" xfId="0" applyFont="1" applyBorder="1" applyAlignment="1">
      <alignment wrapText="1"/>
    </xf>
    <xf numFmtId="0" fontId="4" fillId="0" borderId="16" xfId="0" applyFont="1" applyBorder="1"/>
    <xf numFmtId="0" fontId="4" fillId="0" borderId="16" xfId="0" applyFont="1" applyBorder="1" applyAlignment="1">
      <alignment wrapText="1"/>
    </xf>
    <xf numFmtId="16" fontId="10" fillId="0" borderId="15" xfId="0" applyNumberFormat="1" applyFont="1" applyBorder="1"/>
    <xf numFmtId="16" fontId="10" fillId="0" borderId="16" xfId="0" applyNumberFormat="1" applyFont="1" applyBorder="1"/>
    <xf numFmtId="10" fontId="7" fillId="0" borderId="16" xfId="0" applyNumberFormat="1" applyFont="1" applyBorder="1"/>
    <xf numFmtId="0" fontId="0" fillId="0" borderId="1" xfId="0" applyBorder="1"/>
    <xf numFmtId="0" fontId="5" fillId="0" borderId="17" xfId="0" applyFont="1" applyBorder="1" applyAlignment="1">
      <alignment wrapText="1"/>
    </xf>
    <xf numFmtId="0" fontId="7" fillId="0" borderId="18" xfId="0" applyFont="1" applyBorder="1" applyAlignment="1">
      <alignment wrapText="1"/>
    </xf>
    <xf numFmtId="0" fontId="4" fillId="0" borderId="18" xfId="0" applyFont="1" applyBorder="1" applyAlignment="1">
      <alignment wrapText="1"/>
    </xf>
    <xf numFmtId="0" fontId="4" fillId="0" borderId="18" xfId="0" applyFont="1" applyBorder="1"/>
    <xf numFmtId="0" fontId="0" fillId="2" borderId="0" xfId="0" applyFill="1"/>
    <xf numFmtId="0" fontId="16" fillId="0" borderId="0" xfId="0" applyFont="1"/>
    <xf numFmtId="3" fontId="4" fillId="0" borderId="0" xfId="0" applyNumberFormat="1" applyFont="1"/>
    <xf numFmtId="14" fontId="4" fillId="0" borderId="0" xfId="0" applyNumberFormat="1" applyFont="1"/>
    <xf numFmtId="0" fontId="4" fillId="3" borderId="0" xfId="0" applyFont="1" applyFill="1"/>
    <xf numFmtId="3" fontId="4" fillId="3" borderId="0" xfId="0" applyNumberFormat="1" applyFont="1" applyFill="1"/>
    <xf numFmtId="14" fontId="4" fillId="3" borderId="0" xfId="0" applyNumberFormat="1" applyFont="1" applyFill="1"/>
    <xf numFmtId="0" fontId="17" fillId="3" borderId="0" xfId="0" applyFont="1" applyFill="1"/>
    <xf numFmtId="3" fontId="17" fillId="3" borderId="0" xfId="0" applyNumberFormat="1" applyFont="1" applyFill="1"/>
    <xf numFmtId="14" fontId="17" fillId="3" borderId="0" xfId="0" applyNumberFormat="1" applyFont="1" applyFill="1"/>
    <xf numFmtId="0" fontId="17" fillId="0" borderId="0" xfId="0" applyFont="1"/>
    <xf numFmtId="0" fontId="4" fillId="3" borderId="0" xfId="0" applyFont="1" applyFill="1" applyAlignment="1">
      <alignment wrapText="1"/>
    </xf>
    <xf numFmtId="3" fontId="17" fillId="0" borderId="0" xfId="0" applyNumberFormat="1" applyFont="1"/>
    <xf numFmtId="14" fontId="17" fillId="0" borderId="0" xfId="0" applyNumberFormat="1" applyFont="1"/>
    <xf numFmtId="14" fontId="4" fillId="3" borderId="0" xfId="0" applyNumberFormat="1" applyFont="1" applyFill="1" applyAlignment="1">
      <alignment horizontal="right"/>
    </xf>
    <xf numFmtId="0" fontId="4" fillId="4" borderId="0" xfId="0" applyFont="1" applyFill="1"/>
    <xf numFmtId="0" fontId="17" fillId="4" borderId="0" xfId="0" applyFont="1" applyFill="1"/>
    <xf numFmtId="0" fontId="17" fillId="5" borderId="0" xfId="0" applyFont="1" applyFill="1"/>
    <xf numFmtId="0" fontId="5" fillId="5" borderId="1" xfId="0" applyFont="1" applyFill="1" applyBorder="1" applyAlignment="1">
      <alignment wrapText="1"/>
    </xf>
    <xf numFmtId="0" fontId="5" fillId="5" borderId="14" xfId="0" applyFont="1" applyFill="1" applyBorder="1" applyAlignment="1">
      <alignment wrapText="1"/>
    </xf>
    <xf numFmtId="0" fontId="14" fillId="0" borderId="1" xfId="0" applyFont="1" applyBorder="1"/>
    <xf numFmtId="0" fontId="18" fillId="5" borderId="0" xfId="0" applyFont="1" applyFill="1"/>
    <xf numFmtId="0" fontId="18" fillId="0" borderId="0" xfId="0" applyFont="1"/>
    <xf numFmtId="0" fontId="18" fillId="5" borderId="0" xfId="0" applyFont="1" applyFill="1" applyAlignment="1">
      <alignment wrapText="1"/>
    </xf>
    <xf numFmtId="164" fontId="0" fillId="2" borderId="0" xfId="2" applyNumberFormat="1" applyFont="1" applyFill="1" applyAlignment="1">
      <alignment horizontal="right"/>
    </xf>
    <xf numFmtId="0" fontId="0" fillId="2" borderId="0" xfId="0" applyFill="1" applyAlignment="1">
      <alignment horizontal="center"/>
    </xf>
    <xf numFmtId="0" fontId="0" fillId="2" borderId="0" xfId="0" applyFill="1" applyAlignment="1">
      <alignment wrapText="1"/>
    </xf>
    <xf numFmtId="0" fontId="1" fillId="2" borderId="0" xfId="0" applyFont="1" applyFill="1"/>
    <xf numFmtId="164" fontId="1" fillId="2" borderId="0" xfId="2" applyNumberFormat="1" applyFont="1" applyFill="1" applyAlignment="1">
      <alignment horizontal="right"/>
    </xf>
    <xf numFmtId="0" fontId="1" fillId="2" borderId="0" xfId="0" applyFont="1" applyFill="1" applyAlignment="1">
      <alignment horizontal="center"/>
    </xf>
    <xf numFmtId="0" fontId="5" fillId="0" borderId="2" xfId="0" applyFont="1" applyBorder="1" applyAlignment="1">
      <alignment wrapText="1"/>
    </xf>
  </cellXfs>
  <cellStyles count="3">
    <cellStyle name="Comma" xfId="2" builtinId="3"/>
    <cellStyle name="Hyperlink" xfId="1" builtinId="8"/>
    <cellStyle name="Normal" xfId="0" builtinId="0"/>
  </cellStyles>
  <dxfs count="0"/>
  <tableStyles count="1" defaultTableStyle="TableStyleMedium2" defaultPivotStyle="PivotStyleLight16">
    <tableStyle name="Invisible" pivot="0" table="0" count="0" xr9:uid="{5CA42EA4-C339-4E58-8EF5-2EC4504AE0DD}"/>
  </tableStyles>
  <colors>
    <mruColors>
      <color rgb="FFDCF2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6</xdr:row>
      <xdr:rowOff>38100</xdr:rowOff>
    </xdr:from>
    <xdr:to>
      <xdr:col>13</xdr:col>
      <xdr:colOff>247650</xdr:colOff>
      <xdr:row>31</xdr:row>
      <xdr:rowOff>76200</xdr:rowOff>
    </xdr:to>
    <xdr:pic>
      <xdr:nvPicPr>
        <xdr:cNvPr id="4" name="Picture 1">
          <a:extLst>
            <a:ext uri="{FF2B5EF4-FFF2-40B4-BE49-F238E27FC236}">
              <a16:creationId xmlns:a16="http://schemas.microsoft.com/office/drawing/2014/main" id="{159245C4-E67A-5ADE-3A5A-FE88D8502964}"/>
            </a:ext>
          </a:extLst>
        </xdr:cNvPr>
        <xdr:cNvPicPr>
          <a:picLocks noChangeAspect="1"/>
        </xdr:cNvPicPr>
      </xdr:nvPicPr>
      <xdr:blipFill>
        <a:blip xmlns:r="http://schemas.openxmlformats.org/officeDocument/2006/relationships" r:embed="rId1"/>
        <a:stretch>
          <a:fillRect/>
        </a:stretch>
      </xdr:blipFill>
      <xdr:spPr>
        <a:xfrm>
          <a:off x="123825" y="1123950"/>
          <a:ext cx="9039225" cy="4562475"/>
        </a:xfrm>
        <a:prstGeom prst="rect">
          <a:avLst/>
        </a:prstGeom>
      </xdr:spPr>
    </xdr:pic>
    <xdr:clientData/>
  </xdr:twoCellAnchor>
</xdr:wsDr>
</file>

<file path=xl/theme/theme1.xml><?xml version="1.0" encoding="utf-8"?>
<a:theme xmlns:a="http://schemas.openxmlformats.org/drawingml/2006/main" name="Office Theme">
  <a:themeElements>
    <a:clrScheme name="AlTi Premium Theme">
      <a:dk1>
        <a:sysClr val="windowText" lastClr="000000"/>
      </a:dk1>
      <a:lt1>
        <a:sysClr val="window" lastClr="FFFFFF"/>
      </a:lt1>
      <a:dk2>
        <a:srgbClr val="777777"/>
      </a:dk2>
      <a:lt2>
        <a:srgbClr val="E9F6F5"/>
      </a:lt2>
      <a:accent1>
        <a:srgbClr val="00E7D7"/>
      </a:accent1>
      <a:accent2>
        <a:srgbClr val="0F94A6"/>
      </a:accent2>
      <a:accent3>
        <a:srgbClr val="0A598C"/>
      </a:accent3>
      <a:accent4>
        <a:srgbClr val="DBCB23"/>
      </a:accent4>
      <a:accent5>
        <a:srgbClr val="821A8B"/>
      </a:accent5>
      <a:accent6>
        <a:srgbClr val="B8A61F"/>
      </a:accent6>
      <a:hlink>
        <a:srgbClr val="00E7D7"/>
      </a:hlink>
      <a:folHlink>
        <a:srgbClr val="AE2095"/>
      </a:folHlink>
    </a:clrScheme>
    <a:fontScheme name="Custom 12">
      <a:majorFont>
        <a:latin typeface="Century"/>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impactetfs.org/wp-content/uploads/2025/07/Impact-Shares-NACP-Fact-Sheet.pdf" TargetMode="External"/><Relationship Id="rId13" Type="http://schemas.openxmlformats.org/officeDocument/2006/relationships/hyperlink" Target="https://parallellefinance.com/our-research/" TargetMode="External"/><Relationship Id="rId3" Type="http://schemas.openxmlformats.org/officeDocument/2006/relationships/hyperlink" Target="https://www.trilliuminvest.com/documents/global-equity-document-global-equity-fund-factsheet" TargetMode="External"/><Relationship Id="rId7" Type="http://schemas.openxmlformats.org/officeDocument/2006/relationships/hyperlink" Target="https://www.calvert.com/investment-solutions/etfs/us-equity/calvert-us-large-cap-diversity-equity-and-inclusion-index-etf.html" TargetMode="External"/><Relationship Id="rId12" Type="http://schemas.openxmlformats.org/officeDocument/2006/relationships/hyperlink" Target="https://impaxam.com/assets/pdfs/factsheets/fact_sheet_global_social_leaders.pdf?pwm=7965" TargetMode="External"/><Relationship Id="rId2" Type="http://schemas.openxmlformats.org/officeDocument/2006/relationships/hyperlink" Target="https://www.niaimpactfunds.com/_files/ugd/2b6205_6c68be0c44984a50926a1874def9d0f6.pdf" TargetMode="External"/><Relationship Id="rId16" Type="http://schemas.openxmlformats.org/officeDocument/2006/relationships/hyperlink" Target="https://www.asyousow.org/report-page/racial-justice" TargetMode="External"/><Relationship Id="rId1" Type="http://schemas.openxmlformats.org/officeDocument/2006/relationships/hyperlink" Target="https://www.adasinaetf.com/jstc/fact-sheet" TargetMode="External"/><Relationship Id="rId6" Type="http://schemas.openxmlformats.org/officeDocument/2006/relationships/hyperlink" Target="https://bostoncommonfunds.com/wp-content/uploads/2025/05/Boston-Common-US-Equity-1Q25-final.pdf" TargetMode="External"/><Relationship Id="rId11" Type="http://schemas.openxmlformats.org/officeDocument/2006/relationships/hyperlink" Target="../../../../../../Users/TDunbar.IMPALA/Downloads/A0435_mf_quality_equity_fs%20(2).pdf" TargetMode="External"/><Relationship Id="rId5" Type="http://schemas.openxmlformats.org/officeDocument/2006/relationships/hyperlink" Target="https://www.nb.com/en/us/products/investment-strategies/global-sustainable-equity" TargetMode="External"/><Relationship Id="rId15" Type="http://schemas.openxmlformats.org/officeDocument/2006/relationships/hyperlink" Target="https://www.morningstar.com/sustainable-investing/5-funds-investing-racial-ethnic-diversity" TargetMode="External"/><Relationship Id="rId10" Type="http://schemas.openxmlformats.org/officeDocument/2006/relationships/hyperlink" Target="https://impaxam.com/products/thematic-equities/global-social-leaders-strategy/impax-global-social-leaders-fund-us/" TargetMode="External"/><Relationship Id="rId4" Type="http://schemas.openxmlformats.org/officeDocument/2006/relationships/hyperlink" Target="https://wealth.amg.com/products/boston-common-global-impact-fund-brwix/" TargetMode="External"/><Relationship Id="rId9" Type="http://schemas.openxmlformats.org/officeDocument/2006/relationships/hyperlink" Target="https://www.morganstanley.com/im/en-gb/intermediary-investor/funds-and-performance/morgan-stanley-investment-funds/equity/calvert-diversity-equity-inclusion.html" TargetMode="External"/><Relationship Id="rId14" Type="http://schemas.openxmlformats.org/officeDocument/2006/relationships/hyperlink" Target="https://prisonfreefunds.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44F0D-2B1F-4D87-9D53-F9D8FE96EEE4}">
  <dimension ref="A1:I29"/>
  <sheetViews>
    <sheetView tabSelected="1" zoomScaleNormal="100" workbookViewId="0">
      <selection activeCell="A17" sqref="A17"/>
    </sheetView>
  </sheetViews>
  <sheetFormatPr defaultRowHeight="14.25" x14ac:dyDescent="0.2"/>
  <cols>
    <col min="1" max="1" width="46.75" style="61" customWidth="1"/>
    <col min="2" max="2" width="44.625" style="61" bestFit="1" customWidth="1"/>
    <col min="3" max="3" width="15.875" style="61" bestFit="1" customWidth="1"/>
    <col min="4" max="4" width="13.25" style="85" customWidth="1"/>
    <col min="5" max="5" width="16.375" style="86" bestFit="1" customWidth="1"/>
    <col min="6" max="6" width="11.5" style="61" customWidth="1"/>
    <col min="7" max="7" width="18.375" style="61" bestFit="1" customWidth="1"/>
    <col min="8" max="8" width="14" style="61" bestFit="1" customWidth="1"/>
    <col min="9" max="9" width="14.625" style="61" bestFit="1" customWidth="1"/>
    <col min="10" max="16384" width="9" style="61"/>
  </cols>
  <sheetData>
    <row r="1" spans="1:9" s="88" customFormat="1" x14ac:dyDescent="0.2">
      <c r="A1" s="88" t="s">
        <v>0</v>
      </c>
      <c r="B1" s="88" t="s">
        <v>1</v>
      </c>
      <c r="C1" s="88" t="s">
        <v>2</v>
      </c>
      <c r="D1" s="89" t="s">
        <v>3</v>
      </c>
      <c r="E1" s="90" t="s">
        <v>4</v>
      </c>
      <c r="F1" s="88" t="s">
        <v>5</v>
      </c>
      <c r="G1" s="88" t="s">
        <v>6</v>
      </c>
      <c r="H1" s="88" t="s">
        <v>7</v>
      </c>
      <c r="I1" s="88" t="s">
        <v>8</v>
      </c>
    </row>
    <row r="2" spans="1:9" x14ac:dyDescent="0.2">
      <c r="A2" s="61" t="s">
        <v>9</v>
      </c>
      <c r="B2" s="61" t="s">
        <v>10</v>
      </c>
      <c r="C2" s="61" t="s">
        <v>11</v>
      </c>
      <c r="D2" s="85">
        <v>1000000</v>
      </c>
      <c r="E2" s="86" t="s">
        <v>12</v>
      </c>
      <c r="F2" s="61" t="s">
        <v>489</v>
      </c>
      <c r="G2" s="61" t="s">
        <v>13</v>
      </c>
      <c r="H2" s="61" t="s">
        <v>14</v>
      </c>
      <c r="I2" s="61" t="s">
        <v>15</v>
      </c>
    </row>
    <row r="3" spans="1:9" x14ac:dyDescent="0.2">
      <c r="A3" s="61" t="s">
        <v>16</v>
      </c>
      <c r="B3" s="61" t="s">
        <v>17</v>
      </c>
      <c r="C3" s="61" t="s">
        <v>11</v>
      </c>
      <c r="D3" s="85">
        <v>250000</v>
      </c>
      <c r="E3" s="86" t="s">
        <v>18</v>
      </c>
      <c r="F3" s="61" t="s">
        <v>19</v>
      </c>
      <c r="G3" s="61" t="s">
        <v>13</v>
      </c>
      <c r="H3" s="61" t="s">
        <v>14</v>
      </c>
      <c r="I3" s="61" t="s">
        <v>20</v>
      </c>
    </row>
    <row r="4" spans="1:9" x14ac:dyDescent="0.2">
      <c r="A4" s="61" t="s">
        <v>21</v>
      </c>
      <c r="B4" s="61" t="s">
        <v>22</v>
      </c>
      <c r="C4" s="61" t="s">
        <v>23</v>
      </c>
      <c r="D4" s="85">
        <v>250000</v>
      </c>
      <c r="E4" s="86" t="s">
        <v>24</v>
      </c>
      <c r="F4" s="61" t="s">
        <v>19</v>
      </c>
      <c r="G4" s="61" t="s">
        <v>13</v>
      </c>
      <c r="H4" s="61" t="s">
        <v>14</v>
      </c>
      <c r="I4" s="61" t="s">
        <v>15</v>
      </c>
    </row>
    <row r="5" spans="1:9" x14ac:dyDescent="0.2">
      <c r="A5" s="87" t="s">
        <v>25</v>
      </c>
      <c r="B5" s="61" t="s">
        <v>26</v>
      </c>
      <c r="C5" s="61" t="s">
        <v>11</v>
      </c>
      <c r="D5" s="85">
        <v>250000</v>
      </c>
      <c r="E5" s="86" t="s">
        <v>24</v>
      </c>
      <c r="F5" s="61" t="s">
        <v>19</v>
      </c>
      <c r="G5" s="61" t="s">
        <v>13</v>
      </c>
      <c r="H5" s="61" t="s">
        <v>14</v>
      </c>
      <c r="I5" s="61" t="s">
        <v>15</v>
      </c>
    </row>
    <row r="6" spans="1:9" x14ac:dyDescent="0.2">
      <c r="A6" s="61" t="s">
        <v>27</v>
      </c>
      <c r="B6" s="61" t="s">
        <v>28</v>
      </c>
      <c r="C6" s="61" t="s">
        <v>11</v>
      </c>
      <c r="D6" s="85">
        <v>250000</v>
      </c>
      <c r="E6" s="86" t="s">
        <v>29</v>
      </c>
      <c r="F6" s="61" t="s">
        <v>30</v>
      </c>
      <c r="G6" s="61" t="s">
        <v>13</v>
      </c>
      <c r="H6" s="61" t="s">
        <v>14</v>
      </c>
      <c r="I6" s="61" t="s">
        <v>15</v>
      </c>
    </row>
    <row r="7" spans="1:9" x14ac:dyDescent="0.2">
      <c r="A7" s="61" t="s">
        <v>31</v>
      </c>
      <c r="B7" s="61" t="s">
        <v>32</v>
      </c>
      <c r="C7" s="61" t="s">
        <v>33</v>
      </c>
      <c r="D7" s="85">
        <v>10000000</v>
      </c>
      <c r="E7" s="86" t="s">
        <v>29</v>
      </c>
      <c r="F7" s="61" t="s">
        <v>34</v>
      </c>
      <c r="G7" s="61" t="s">
        <v>13</v>
      </c>
      <c r="H7" s="61" t="s">
        <v>14</v>
      </c>
      <c r="I7" s="61" t="s">
        <v>15</v>
      </c>
    </row>
    <row r="8" spans="1:9" x14ac:dyDescent="0.2">
      <c r="A8" s="61" t="s">
        <v>35</v>
      </c>
      <c r="B8" s="61" t="s">
        <v>36</v>
      </c>
      <c r="C8" s="61" t="s">
        <v>37</v>
      </c>
      <c r="D8" s="85">
        <v>500000</v>
      </c>
      <c r="E8" s="86" t="s">
        <v>38</v>
      </c>
      <c r="F8" s="61" t="s">
        <v>30</v>
      </c>
      <c r="G8" s="61" t="s">
        <v>39</v>
      </c>
      <c r="H8" s="61" t="s">
        <v>14</v>
      </c>
      <c r="I8" s="61" t="s">
        <v>15</v>
      </c>
    </row>
    <row r="9" spans="1:9" x14ac:dyDescent="0.2">
      <c r="A9" s="61" t="s">
        <v>43</v>
      </c>
      <c r="B9" s="61" t="s">
        <v>44</v>
      </c>
      <c r="C9" s="61" t="s">
        <v>23</v>
      </c>
      <c r="D9" s="85">
        <v>500000</v>
      </c>
      <c r="E9" s="86" t="s">
        <v>45</v>
      </c>
      <c r="F9" s="61" t="s">
        <v>46</v>
      </c>
      <c r="G9" s="61" t="s">
        <v>47</v>
      </c>
      <c r="H9" s="61" t="s">
        <v>14</v>
      </c>
      <c r="I9" s="61" t="s">
        <v>15</v>
      </c>
    </row>
    <row r="10" spans="1:9" x14ac:dyDescent="0.2">
      <c r="A10" s="61" t="s">
        <v>48</v>
      </c>
      <c r="B10" s="61" t="s">
        <v>49</v>
      </c>
      <c r="C10" s="61" t="s">
        <v>37</v>
      </c>
      <c r="D10" s="85" t="s">
        <v>14</v>
      </c>
      <c r="E10" s="86" t="s">
        <v>41</v>
      </c>
      <c r="F10" s="61" t="s">
        <v>30</v>
      </c>
      <c r="G10" s="61" t="s">
        <v>42</v>
      </c>
      <c r="H10" s="61" t="s">
        <v>14</v>
      </c>
      <c r="I10" s="61" t="s">
        <v>15</v>
      </c>
    </row>
    <row r="11" spans="1:9" x14ac:dyDescent="0.2">
      <c r="A11" s="61" t="s">
        <v>50</v>
      </c>
      <c r="B11" s="61" t="s">
        <v>17</v>
      </c>
      <c r="C11" s="61" t="s">
        <v>11</v>
      </c>
      <c r="D11" s="85">
        <v>250000</v>
      </c>
      <c r="E11" s="86" t="s">
        <v>18</v>
      </c>
      <c r="F11" s="61" t="s">
        <v>19</v>
      </c>
      <c r="G11" s="61" t="s">
        <v>47</v>
      </c>
      <c r="H11" s="61" t="s">
        <v>14</v>
      </c>
      <c r="I11" s="61" t="s">
        <v>15</v>
      </c>
    </row>
    <row r="12" spans="1:9" x14ac:dyDescent="0.2">
      <c r="A12" s="61" t="s">
        <v>40</v>
      </c>
      <c r="B12" s="61" t="s">
        <v>17</v>
      </c>
      <c r="C12" s="61" t="s">
        <v>11</v>
      </c>
      <c r="D12" s="85">
        <v>250000</v>
      </c>
      <c r="E12" s="86" t="s">
        <v>18</v>
      </c>
      <c r="F12" s="61" t="s">
        <v>19</v>
      </c>
      <c r="G12" s="61" t="s">
        <v>47</v>
      </c>
      <c r="H12" s="61" t="s">
        <v>14</v>
      </c>
      <c r="I12" s="61" t="s">
        <v>15</v>
      </c>
    </row>
    <row r="13" spans="1:9" x14ac:dyDescent="0.2">
      <c r="A13" s="61" t="s">
        <v>494</v>
      </c>
      <c r="B13" s="61" t="s">
        <v>17</v>
      </c>
      <c r="C13" s="61" t="s">
        <v>11</v>
      </c>
      <c r="D13" s="85">
        <v>250000</v>
      </c>
      <c r="E13" s="86" t="s">
        <v>41</v>
      </c>
      <c r="F13" s="61" t="s">
        <v>19</v>
      </c>
      <c r="G13" s="61" t="s">
        <v>47</v>
      </c>
      <c r="H13" s="61" t="s">
        <v>14</v>
      </c>
      <c r="I13" s="61" t="s">
        <v>15</v>
      </c>
    </row>
    <row r="14" spans="1:9" x14ac:dyDescent="0.2">
      <c r="A14" s="61" t="s">
        <v>51</v>
      </c>
      <c r="B14" s="61" t="s">
        <v>17</v>
      </c>
      <c r="C14" s="61" t="s">
        <v>11</v>
      </c>
      <c r="D14" s="85">
        <v>5000000</v>
      </c>
      <c r="E14" s="86" t="s">
        <v>41</v>
      </c>
      <c r="F14" s="61" t="s">
        <v>19</v>
      </c>
      <c r="G14" s="61" t="s">
        <v>42</v>
      </c>
      <c r="H14" s="61" t="s">
        <v>14</v>
      </c>
      <c r="I14" s="61" t="s">
        <v>52</v>
      </c>
    </row>
    <row r="15" spans="1:9" x14ac:dyDescent="0.2">
      <c r="A15" s="61" t="s">
        <v>53</v>
      </c>
      <c r="B15" s="61" t="s">
        <v>54</v>
      </c>
      <c r="C15" s="61" t="s">
        <v>23</v>
      </c>
      <c r="D15" s="85">
        <v>1000000</v>
      </c>
      <c r="E15" s="86" t="s">
        <v>38</v>
      </c>
      <c r="F15" s="61" t="s">
        <v>19</v>
      </c>
      <c r="G15" s="61" t="s">
        <v>47</v>
      </c>
      <c r="H15" s="61" t="s">
        <v>14</v>
      </c>
      <c r="I15" s="61" t="s">
        <v>15</v>
      </c>
    </row>
    <row r="16" spans="1:9" x14ac:dyDescent="0.2">
      <c r="A16" s="61" t="s">
        <v>55</v>
      </c>
      <c r="B16" s="61" t="s">
        <v>54</v>
      </c>
      <c r="C16" s="61" t="s">
        <v>23</v>
      </c>
      <c r="D16" s="85">
        <v>25000</v>
      </c>
      <c r="E16" s="86" t="s">
        <v>38</v>
      </c>
      <c r="F16" s="61" t="s">
        <v>19</v>
      </c>
      <c r="G16" s="61" t="s">
        <v>47</v>
      </c>
      <c r="H16" s="61" t="s">
        <v>14</v>
      </c>
      <c r="I16" s="61" t="s">
        <v>15</v>
      </c>
    </row>
    <row r="17" spans="1:9" x14ac:dyDescent="0.2">
      <c r="A17" s="61" t="s">
        <v>56</v>
      </c>
      <c r="B17" s="61" t="s">
        <v>54</v>
      </c>
      <c r="C17" s="61" t="s">
        <v>23</v>
      </c>
      <c r="D17" s="85">
        <v>1000000</v>
      </c>
      <c r="E17" s="86" t="s">
        <v>38</v>
      </c>
      <c r="F17" s="61" t="s">
        <v>19</v>
      </c>
      <c r="G17" s="61" t="s">
        <v>47</v>
      </c>
      <c r="H17" s="61" t="s">
        <v>14</v>
      </c>
      <c r="I17" s="61" t="s">
        <v>15</v>
      </c>
    </row>
    <row r="18" spans="1:9" x14ac:dyDescent="0.2">
      <c r="A18" s="61" t="s">
        <v>57</v>
      </c>
      <c r="B18" s="61" t="s">
        <v>58</v>
      </c>
      <c r="C18" s="61" t="s">
        <v>11</v>
      </c>
      <c r="D18" s="85" t="s">
        <v>14</v>
      </c>
      <c r="E18" s="86" t="s">
        <v>41</v>
      </c>
      <c r="F18" s="61" t="s">
        <v>59</v>
      </c>
      <c r="G18" s="61" t="s">
        <v>47</v>
      </c>
      <c r="H18" s="61" t="s">
        <v>14</v>
      </c>
      <c r="I18" s="61" t="s">
        <v>52</v>
      </c>
    </row>
    <row r="19" spans="1:9" x14ac:dyDescent="0.2">
      <c r="A19" s="61" t="s">
        <v>60</v>
      </c>
      <c r="B19" s="61" t="s">
        <v>61</v>
      </c>
      <c r="C19" s="61" t="s">
        <v>11</v>
      </c>
      <c r="D19" s="85">
        <v>250000</v>
      </c>
      <c r="E19" s="86" t="s">
        <v>38</v>
      </c>
      <c r="F19" s="61" t="s">
        <v>19</v>
      </c>
      <c r="G19" s="61" t="s">
        <v>13</v>
      </c>
      <c r="H19" s="61" t="s">
        <v>14</v>
      </c>
      <c r="I19" s="61" t="s">
        <v>15</v>
      </c>
    </row>
    <row r="20" spans="1:9" x14ac:dyDescent="0.2">
      <c r="A20" s="61" t="s">
        <v>62</v>
      </c>
      <c r="B20" s="61" t="s">
        <v>63</v>
      </c>
      <c r="C20" s="61" t="s">
        <v>23</v>
      </c>
      <c r="D20" s="85" t="s">
        <v>64</v>
      </c>
      <c r="E20" s="86">
        <v>4</v>
      </c>
      <c r="F20" s="61" t="s">
        <v>65</v>
      </c>
      <c r="G20" s="61" t="s">
        <v>66</v>
      </c>
      <c r="H20" s="61" t="s">
        <v>14</v>
      </c>
      <c r="I20" s="61" t="s">
        <v>15</v>
      </c>
    </row>
    <row r="21" spans="1:9" x14ac:dyDescent="0.2">
      <c r="A21" s="61" t="s">
        <v>67</v>
      </c>
      <c r="B21" s="61" t="s">
        <v>68</v>
      </c>
      <c r="C21" s="61" t="s">
        <v>11</v>
      </c>
      <c r="D21" s="85" t="s">
        <v>14</v>
      </c>
      <c r="E21" s="86" t="s">
        <v>29</v>
      </c>
      <c r="F21" s="61" t="s">
        <v>30</v>
      </c>
      <c r="G21" s="61" t="s">
        <v>66</v>
      </c>
      <c r="H21" s="61" t="s">
        <v>14</v>
      </c>
      <c r="I21" s="61" t="s">
        <v>15</v>
      </c>
    </row>
    <row r="22" spans="1:9" x14ac:dyDescent="0.2">
      <c r="A22" s="61" t="s">
        <v>70</v>
      </c>
      <c r="B22" s="61" t="s">
        <v>71</v>
      </c>
      <c r="C22" s="61" t="s">
        <v>11</v>
      </c>
      <c r="D22" s="85" t="s">
        <v>14</v>
      </c>
      <c r="E22" s="86">
        <v>4</v>
      </c>
      <c r="F22" s="61" t="s">
        <v>72</v>
      </c>
      <c r="G22" s="61" t="s">
        <v>73</v>
      </c>
      <c r="H22" s="61" t="s">
        <v>14</v>
      </c>
      <c r="I22" s="61" t="s">
        <v>15</v>
      </c>
    </row>
    <row r="23" spans="1:9" x14ac:dyDescent="0.2">
      <c r="A23" s="61" t="s">
        <v>74</v>
      </c>
      <c r="B23" s="61" t="s">
        <v>75</v>
      </c>
      <c r="C23" s="61" t="s">
        <v>23</v>
      </c>
      <c r="D23" s="85">
        <v>1000000</v>
      </c>
      <c r="E23" s="86" t="s">
        <v>69</v>
      </c>
      <c r="F23" s="61" t="s">
        <v>76</v>
      </c>
      <c r="G23" s="61" t="s">
        <v>47</v>
      </c>
      <c r="H23" s="61" t="s">
        <v>14</v>
      </c>
      <c r="I23" s="61" t="s">
        <v>15</v>
      </c>
    </row>
    <row r="24" spans="1:9" x14ac:dyDescent="0.2">
      <c r="A24" s="61" t="s">
        <v>77</v>
      </c>
      <c r="B24" s="61" t="s">
        <v>78</v>
      </c>
      <c r="C24" s="61" t="s">
        <v>79</v>
      </c>
      <c r="D24" s="85" t="s">
        <v>14</v>
      </c>
      <c r="E24" s="86">
        <v>3</v>
      </c>
      <c r="F24" s="61" t="s">
        <v>80</v>
      </c>
      <c r="G24" s="61" t="s">
        <v>81</v>
      </c>
      <c r="H24" s="61" t="s">
        <v>14</v>
      </c>
      <c r="I24" s="61" t="s">
        <v>15</v>
      </c>
    </row>
    <row r="25" spans="1:9" x14ac:dyDescent="0.2">
      <c r="A25" s="61" t="s">
        <v>82</v>
      </c>
      <c r="B25" s="61" t="s">
        <v>83</v>
      </c>
      <c r="C25" s="61" t="s">
        <v>23</v>
      </c>
      <c r="F25" s="61" t="s">
        <v>84</v>
      </c>
      <c r="G25" s="61" t="s">
        <v>42</v>
      </c>
      <c r="H25" s="61" t="s">
        <v>14</v>
      </c>
      <c r="I25" s="61" t="s">
        <v>15</v>
      </c>
    </row>
    <row r="26" spans="1:9" x14ac:dyDescent="0.2">
      <c r="A26" s="61" t="s">
        <v>85</v>
      </c>
      <c r="H26" s="61" t="s">
        <v>14</v>
      </c>
      <c r="I26" s="61" t="s">
        <v>15</v>
      </c>
    </row>
    <row r="27" spans="1:9" x14ac:dyDescent="0.2">
      <c r="A27" s="61" t="s">
        <v>86</v>
      </c>
      <c r="B27" s="61" t="s">
        <v>71</v>
      </c>
      <c r="C27" s="61" t="s">
        <v>11</v>
      </c>
      <c r="D27" s="85" t="s">
        <v>14</v>
      </c>
      <c r="E27" s="86">
        <v>4</v>
      </c>
      <c r="F27" s="61" t="s">
        <v>72</v>
      </c>
      <c r="H27" s="61" t="s">
        <v>14</v>
      </c>
      <c r="I27" s="61" t="s">
        <v>15</v>
      </c>
    </row>
    <row r="28" spans="1:9" x14ac:dyDescent="0.2">
      <c r="A28" s="61" t="s">
        <v>490</v>
      </c>
      <c r="B28" s="61" t="s">
        <v>491</v>
      </c>
      <c r="C28" s="61" t="s">
        <v>11</v>
      </c>
      <c r="D28" s="85" t="s">
        <v>14</v>
      </c>
      <c r="E28" s="86" t="s">
        <v>29</v>
      </c>
      <c r="F28" s="61" t="s">
        <v>30</v>
      </c>
      <c r="G28" s="61" t="s">
        <v>492</v>
      </c>
      <c r="H28" s="61" t="s">
        <v>14</v>
      </c>
      <c r="I28" s="61" t="s">
        <v>15</v>
      </c>
    </row>
    <row r="29" spans="1:9" x14ac:dyDescent="0.2">
      <c r="A29" s="61" t="s">
        <v>493</v>
      </c>
      <c r="G29" s="61" t="s">
        <v>13</v>
      </c>
      <c r="H29" s="61" t="s">
        <v>14</v>
      </c>
      <c r="I29" s="61" t="s">
        <v>15</v>
      </c>
    </row>
  </sheetData>
  <autoFilter ref="A1:I29" xr:uid="{37F44F0D-2B1F-4D87-9D53-F9D8FE96EEE4}"/>
  <sortState xmlns:xlrd2="http://schemas.microsoft.com/office/spreadsheetml/2017/richdata2" ref="A2:I27">
    <sortCondition ref="G2:G27"/>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9B5E6-6105-4BC6-A774-70B1F5A0F309}">
  <dimension ref="A1"/>
  <sheetViews>
    <sheetView workbookViewId="0">
      <selection activeCell="O15" sqref="O15"/>
    </sheetView>
  </sheetViews>
  <sheetFormatPr defaultRowHeight="14.2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C126A-0D56-43DF-B89E-15664F04022F}">
  <dimension ref="A2:B5"/>
  <sheetViews>
    <sheetView zoomScale="110" zoomScaleNormal="110" workbookViewId="0"/>
  </sheetViews>
  <sheetFormatPr defaultRowHeight="14.25" x14ac:dyDescent="0.2"/>
  <sheetData>
    <row r="2" spans="1:2" x14ac:dyDescent="0.2">
      <c r="A2">
        <v>1</v>
      </c>
      <c r="B2" t="s">
        <v>87</v>
      </c>
    </row>
    <row r="3" spans="1:2" x14ac:dyDescent="0.2">
      <c r="A3">
        <v>2</v>
      </c>
      <c r="B3" t="s">
        <v>88</v>
      </c>
    </row>
    <row r="4" spans="1:2" x14ac:dyDescent="0.2">
      <c r="A4">
        <v>3</v>
      </c>
      <c r="B4" t="s">
        <v>89</v>
      </c>
    </row>
    <row r="5" spans="1:2" x14ac:dyDescent="0.2">
      <c r="A5">
        <v>4</v>
      </c>
      <c r="B5" t="s">
        <v>90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DA8D4-685B-4AA1-8BDA-B0617E5361E0}">
  <dimension ref="A1:F28"/>
  <sheetViews>
    <sheetView topLeftCell="A12" zoomScale="80" zoomScaleNormal="80" workbookViewId="0">
      <selection activeCell="D18" sqref="D18"/>
    </sheetView>
  </sheetViews>
  <sheetFormatPr defaultRowHeight="14.25" x14ac:dyDescent="0.2"/>
  <cols>
    <col min="1" max="1" width="25.375" bestFit="1" customWidth="1"/>
    <col min="2" max="6" width="28.25" style="4" customWidth="1"/>
  </cols>
  <sheetData>
    <row r="1" spans="1:6" x14ac:dyDescent="0.2">
      <c r="A1" s="2"/>
      <c r="B1" s="5" t="s">
        <v>91</v>
      </c>
      <c r="C1" s="5" t="s">
        <v>92</v>
      </c>
      <c r="D1" s="5" t="s">
        <v>93</v>
      </c>
      <c r="E1" s="5" t="s">
        <v>94</v>
      </c>
      <c r="F1" s="5" t="s">
        <v>95</v>
      </c>
    </row>
    <row r="2" spans="1:6" x14ac:dyDescent="0.2">
      <c r="A2" s="3" t="s">
        <v>96</v>
      </c>
    </row>
    <row r="3" spans="1:6" ht="57" x14ac:dyDescent="0.2">
      <c r="A3" t="s">
        <v>97</v>
      </c>
      <c r="B3" s="4" t="s">
        <v>98</v>
      </c>
      <c r="C3" s="4" t="s">
        <v>99</v>
      </c>
      <c r="D3" s="4" t="s">
        <v>67</v>
      </c>
      <c r="E3" s="4" t="s">
        <v>100</v>
      </c>
      <c r="F3" s="4" t="s">
        <v>101</v>
      </c>
    </row>
    <row r="4" spans="1:6" x14ac:dyDescent="0.2">
      <c r="A4" t="s">
        <v>102</v>
      </c>
      <c r="B4" s="4" t="s">
        <v>103</v>
      </c>
      <c r="D4" s="4" t="s">
        <v>104</v>
      </c>
      <c r="E4" s="4" t="s">
        <v>105</v>
      </c>
      <c r="F4" s="4" t="s">
        <v>106</v>
      </c>
    </row>
    <row r="5" spans="1:6" x14ac:dyDescent="0.2">
      <c r="A5" t="s">
        <v>107</v>
      </c>
      <c r="B5" s="4">
        <v>2021</v>
      </c>
      <c r="C5" s="4">
        <v>2023</v>
      </c>
      <c r="D5" s="4">
        <v>2024</v>
      </c>
    </row>
    <row r="6" spans="1:6" x14ac:dyDescent="0.2">
      <c r="A6" t="s">
        <v>108</v>
      </c>
      <c r="B6" s="4" t="s">
        <v>109</v>
      </c>
      <c r="D6" s="4" t="s">
        <v>110</v>
      </c>
    </row>
    <row r="7" spans="1:6" x14ac:dyDescent="0.2">
      <c r="A7" t="s">
        <v>111</v>
      </c>
      <c r="B7" s="4">
        <v>1099</v>
      </c>
      <c r="D7" s="4" t="s">
        <v>112</v>
      </c>
    </row>
    <row r="9" spans="1:6" x14ac:dyDescent="0.2">
      <c r="A9" s="3" t="s">
        <v>113</v>
      </c>
    </row>
    <row r="10" spans="1:6" ht="42.75" x14ac:dyDescent="0.2">
      <c r="A10" t="s">
        <v>114</v>
      </c>
      <c r="B10" s="4" t="s">
        <v>115</v>
      </c>
      <c r="D10" s="4" t="s">
        <v>116</v>
      </c>
      <c r="E10" s="4" t="s">
        <v>117</v>
      </c>
      <c r="F10" s="4" t="s">
        <v>117</v>
      </c>
    </row>
    <row r="11" spans="1:6" ht="85.5" x14ac:dyDescent="0.2">
      <c r="A11" t="s">
        <v>118</v>
      </c>
      <c r="B11" s="4" t="s">
        <v>119</v>
      </c>
      <c r="C11" s="4" t="s">
        <v>120</v>
      </c>
      <c r="D11" s="4" t="s">
        <v>121</v>
      </c>
      <c r="E11" s="4" t="s">
        <v>122</v>
      </c>
      <c r="F11" s="4" t="s">
        <v>123</v>
      </c>
    </row>
    <row r="12" spans="1:6" ht="57" x14ac:dyDescent="0.2">
      <c r="A12" t="s">
        <v>124</v>
      </c>
      <c r="B12" s="4" t="s">
        <v>125</v>
      </c>
      <c r="C12" s="4" t="s">
        <v>126</v>
      </c>
      <c r="D12" s="4" t="s">
        <v>127</v>
      </c>
      <c r="E12" s="4" t="s">
        <v>128</v>
      </c>
      <c r="F12" s="4" t="s">
        <v>129</v>
      </c>
    </row>
    <row r="13" spans="1:6" x14ac:dyDescent="0.2">
      <c r="A13" t="s">
        <v>130</v>
      </c>
      <c r="F13" s="4" t="s">
        <v>131</v>
      </c>
    </row>
    <row r="15" spans="1:6" x14ac:dyDescent="0.2">
      <c r="A15" s="3" t="s">
        <v>132</v>
      </c>
    </row>
    <row r="16" spans="1:6" x14ac:dyDescent="0.2">
      <c r="A16" t="s">
        <v>133</v>
      </c>
      <c r="C16" s="4" t="s">
        <v>134</v>
      </c>
      <c r="D16" s="4" t="s">
        <v>135</v>
      </c>
    </row>
    <row r="17" spans="1:6" ht="71.25" x14ac:dyDescent="0.2">
      <c r="A17" t="s">
        <v>136</v>
      </c>
      <c r="B17" s="6">
        <v>1.2500000000000001E-2</v>
      </c>
      <c r="C17" s="4" t="s">
        <v>137</v>
      </c>
      <c r="D17" s="4" t="s">
        <v>138</v>
      </c>
      <c r="E17" s="4" t="s">
        <v>139</v>
      </c>
      <c r="F17" s="4" t="s">
        <v>140</v>
      </c>
    </row>
    <row r="18" spans="1:6" x14ac:dyDescent="0.2">
      <c r="A18" t="s">
        <v>141</v>
      </c>
      <c r="B18" s="6">
        <v>2.0799999999999999E-2</v>
      </c>
      <c r="D18" s="4" t="s">
        <v>112</v>
      </c>
    </row>
    <row r="19" spans="1:6" x14ac:dyDescent="0.2">
      <c r="A19" t="s">
        <v>142</v>
      </c>
      <c r="B19" s="4" t="s">
        <v>143</v>
      </c>
      <c r="C19" s="4" t="s">
        <v>144</v>
      </c>
      <c r="D19" s="4" t="s">
        <v>145</v>
      </c>
    </row>
    <row r="20" spans="1:6" x14ac:dyDescent="0.2">
      <c r="A20" t="s">
        <v>146</v>
      </c>
      <c r="B20" s="6">
        <v>9.7100000000000006E-2</v>
      </c>
      <c r="D20" s="4" t="s">
        <v>147</v>
      </c>
      <c r="E20" s="4" t="s">
        <v>148</v>
      </c>
      <c r="F20" s="4" t="s">
        <v>149</v>
      </c>
    </row>
    <row r="22" spans="1:6" x14ac:dyDescent="0.2">
      <c r="A22" s="3" t="s">
        <v>150</v>
      </c>
    </row>
    <row r="23" spans="1:6" x14ac:dyDescent="0.2">
      <c r="A23" t="s">
        <v>151</v>
      </c>
      <c r="B23" s="4" t="s">
        <v>152</v>
      </c>
      <c r="C23" s="4" t="s">
        <v>153</v>
      </c>
      <c r="D23" s="4" t="s">
        <v>154</v>
      </c>
      <c r="F23" s="4" t="s">
        <v>154</v>
      </c>
    </row>
    <row r="24" spans="1:6" ht="28.5" x14ac:dyDescent="0.2">
      <c r="A24" t="s">
        <v>155</v>
      </c>
      <c r="D24" s="4" t="s">
        <v>156</v>
      </c>
      <c r="E24" s="4" t="s">
        <v>157</v>
      </c>
      <c r="F24" s="4" t="s">
        <v>157</v>
      </c>
    </row>
    <row r="25" spans="1:6" x14ac:dyDescent="0.2">
      <c r="A25" t="s">
        <v>158</v>
      </c>
      <c r="B25" s="4" t="s">
        <v>159</v>
      </c>
      <c r="D25" s="4" t="s">
        <v>160</v>
      </c>
    </row>
    <row r="26" spans="1:6" x14ac:dyDescent="0.2">
      <c r="A26" t="s">
        <v>161</v>
      </c>
      <c r="C26" s="4" t="s">
        <v>162</v>
      </c>
      <c r="D26" s="4" t="s">
        <v>163</v>
      </c>
    </row>
    <row r="27" spans="1:6" ht="28.5" x14ac:dyDescent="0.2">
      <c r="A27" t="s">
        <v>164</v>
      </c>
      <c r="C27" s="4" t="s">
        <v>165</v>
      </c>
      <c r="D27" s="4" t="s">
        <v>153</v>
      </c>
    </row>
    <row r="28" spans="1:6" x14ac:dyDescent="0.2">
      <c r="A28" t="s">
        <v>166</v>
      </c>
      <c r="C28" s="4" t="s">
        <v>167</v>
      </c>
      <c r="D28" s="4" t="s">
        <v>168</v>
      </c>
      <c r="F28" s="4" t="s">
        <v>169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C3D1-CCEE-4B95-9F95-0C55D240A36B}">
  <dimension ref="A1:AD54"/>
  <sheetViews>
    <sheetView topLeftCell="A7" workbookViewId="0">
      <selection activeCell="G32" sqref="G32"/>
    </sheetView>
  </sheetViews>
  <sheetFormatPr defaultRowHeight="14.25" x14ac:dyDescent="0.2"/>
  <cols>
    <col min="1" max="1" width="38.375" customWidth="1"/>
    <col min="2" max="12" width="19.5" customWidth="1"/>
    <col min="13" max="15" width="17" customWidth="1"/>
    <col min="16" max="16" width="19.75" customWidth="1"/>
    <col min="17" max="18" width="17" customWidth="1"/>
    <col min="19" max="19" width="17.875" customWidth="1"/>
    <col min="20" max="20" width="15.25" customWidth="1"/>
    <col min="21" max="22" width="18.125" customWidth="1"/>
    <col min="23" max="23" width="14.875" customWidth="1"/>
    <col min="24" max="24" width="11.125" customWidth="1"/>
  </cols>
  <sheetData>
    <row r="1" spans="1:30" ht="15" x14ac:dyDescent="0.25">
      <c r="A1" s="10" t="s">
        <v>170</v>
      </c>
      <c r="B1" s="7"/>
      <c r="C1" s="7"/>
      <c r="D1" s="7"/>
      <c r="E1" s="7"/>
      <c r="F1" s="7"/>
      <c r="G1" s="7"/>
      <c r="H1" s="7"/>
      <c r="I1" s="7"/>
      <c r="J1" s="7"/>
      <c r="K1" s="7"/>
      <c r="L1" s="7"/>
    </row>
    <row r="2" spans="1:30" ht="15" x14ac:dyDescent="0.25">
      <c r="A2" t="s">
        <v>171</v>
      </c>
      <c r="B2" s="7"/>
      <c r="C2" s="7" t="s">
        <v>172</v>
      </c>
      <c r="D2" s="7"/>
      <c r="E2" s="7"/>
      <c r="F2" s="7"/>
      <c r="G2" s="7"/>
      <c r="H2" s="7"/>
      <c r="I2" s="7"/>
      <c r="J2" s="7"/>
      <c r="K2" s="7"/>
      <c r="L2" s="7"/>
    </row>
    <row r="3" spans="1:30" ht="15" x14ac:dyDescent="0.25">
      <c r="A3" t="s">
        <v>173</v>
      </c>
      <c r="B3" s="7"/>
      <c r="C3" s="46" t="s">
        <v>174</v>
      </c>
      <c r="D3" s="7"/>
      <c r="E3" s="7"/>
      <c r="F3" s="7"/>
      <c r="G3" s="7"/>
      <c r="H3" s="7"/>
      <c r="I3" s="7"/>
      <c r="J3" s="7"/>
      <c r="K3" s="7"/>
      <c r="L3" s="7"/>
    </row>
    <row r="4" spans="1:30" ht="15" x14ac:dyDescent="0.25">
      <c r="A4" t="s">
        <v>175</v>
      </c>
      <c r="B4" s="7"/>
      <c r="C4" s="46" t="s">
        <v>174</v>
      </c>
      <c r="D4" s="7"/>
      <c r="E4" s="7"/>
      <c r="F4" s="7"/>
      <c r="G4" s="7"/>
      <c r="H4" s="7"/>
      <c r="I4" s="7"/>
      <c r="J4" s="7"/>
      <c r="K4" s="7"/>
      <c r="L4" s="7"/>
    </row>
    <row r="5" spans="1:30" ht="15" x14ac:dyDescent="0.25">
      <c r="A5" t="s">
        <v>176</v>
      </c>
      <c r="B5" s="7"/>
      <c r="C5" s="46" t="s">
        <v>174</v>
      </c>
      <c r="D5" s="7"/>
      <c r="E5" s="7"/>
      <c r="F5" s="7"/>
      <c r="G5" s="7"/>
      <c r="H5" s="7"/>
      <c r="I5" s="7"/>
      <c r="J5" s="7"/>
      <c r="K5" s="7"/>
      <c r="L5" s="7"/>
    </row>
    <row r="6" spans="1:30" ht="15" x14ac:dyDescent="0.25">
      <c r="A6" t="s">
        <v>177</v>
      </c>
      <c r="B6" s="7"/>
      <c r="C6" s="46" t="s">
        <v>174</v>
      </c>
      <c r="D6" s="7"/>
      <c r="E6" s="7"/>
      <c r="F6" s="7"/>
      <c r="G6" s="7"/>
      <c r="H6" s="7"/>
      <c r="I6" s="7"/>
      <c r="J6" s="7"/>
      <c r="K6" s="7"/>
      <c r="L6" s="7"/>
    </row>
    <row r="7" spans="1:30" ht="15" x14ac:dyDescent="0.25">
      <c r="A7" t="s">
        <v>178</v>
      </c>
      <c r="B7" s="7"/>
      <c r="C7" s="7" t="s">
        <v>179</v>
      </c>
      <c r="D7" s="7"/>
      <c r="E7" s="7"/>
      <c r="F7" s="7"/>
      <c r="G7" s="7"/>
      <c r="H7" s="7"/>
      <c r="I7" s="7"/>
      <c r="J7" s="7"/>
      <c r="K7" s="7"/>
      <c r="L7" s="7"/>
    </row>
    <row r="8" spans="1:30" ht="15" x14ac:dyDescent="0.25">
      <c r="A8" t="s">
        <v>180</v>
      </c>
      <c r="B8" s="7"/>
      <c r="C8" s="7" t="s">
        <v>181</v>
      </c>
      <c r="D8" s="7"/>
      <c r="E8" s="7"/>
      <c r="F8" s="7"/>
      <c r="G8" s="7"/>
      <c r="H8" s="7"/>
      <c r="I8" s="7"/>
      <c r="J8" s="7"/>
      <c r="K8" s="7"/>
      <c r="L8" s="7"/>
    </row>
    <row r="9" spans="1:30" ht="15" x14ac:dyDescent="0.25">
      <c r="B9" s="7"/>
      <c r="C9" s="7"/>
      <c r="D9" s="7"/>
      <c r="E9" s="7"/>
      <c r="F9" s="7"/>
      <c r="G9" s="7"/>
      <c r="H9" s="7"/>
      <c r="I9" s="7"/>
      <c r="J9" s="7"/>
      <c r="K9" s="7"/>
      <c r="L9" s="7"/>
    </row>
    <row r="10" spans="1:30" ht="15" x14ac:dyDescent="0.25">
      <c r="A10" s="1" t="s">
        <v>182</v>
      </c>
      <c r="B10" s="7"/>
      <c r="C10" s="7"/>
      <c r="D10" s="7"/>
      <c r="E10" s="7"/>
      <c r="F10" s="7"/>
      <c r="G10" s="7"/>
      <c r="H10" s="7"/>
      <c r="I10" s="7"/>
      <c r="J10" s="7"/>
      <c r="K10" s="7"/>
      <c r="L10" s="7"/>
    </row>
    <row r="11" spans="1:30" ht="15" x14ac:dyDescent="0.25">
      <c r="A11" s="62" t="s">
        <v>183</v>
      </c>
      <c r="B11" s="62" t="s">
        <v>184</v>
      </c>
      <c r="C11" s="62" t="s">
        <v>185</v>
      </c>
      <c r="D11" s="62" t="s">
        <v>186</v>
      </c>
      <c r="E11" s="62" t="s">
        <v>187</v>
      </c>
      <c r="F11" s="62" t="s">
        <v>188</v>
      </c>
      <c r="G11" s="62" t="s">
        <v>189</v>
      </c>
      <c r="H11" s="62" t="s">
        <v>190</v>
      </c>
      <c r="I11" s="62" t="s">
        <v>191</v>
      </c>
      <c r="J11" s="62" t="s">
        <v>192</v>
      </c>
      <c r="K11" s="62" t="s">
        <v>193</v>
      </c>
      <c r="L11" s="62" t="s">
        <v>192</v>
      </c>
      <c r="M11" s="62" t="s">
        <v>194</v>
      </c>
      <c r="N11" s="62" t="s">
        <v>191</v>
      </c>
      <c r="O11" s="62" t="s">
        <v>192</v>
      </c>
      <c r="P11" s="62" t="s">
        <v>193</v>
      </c>
      <c r="Q11" s="62" t="s">
        <v>192</v>
      </c>
      <c r="R11" s="62" t="s">
        <v>195</v>
      </c>
      <c r="S11" s="62" t="s">
        <v>191</v>
      </c>
      <c r="T11" s="62" t="s">
        <v>192</v>
      </c>
      <c r="U11" s="62" t="s">
        <v>193</v>
      </c>
      <c r="V11" s="62" t="s">
        <v>192</v>
      </c>
      <c r="W11" s="62" t="s">
        <v>196</v>
      </c>
      <c r="X11" s="62" t="s">
        <v>197</v>
      </c>
      <c r="Y11" s="62" t="s">
        <v>198</v>
      </c>
      <c r="Z11" s="62" t="s">
        <v>199</v>
      </c>
      <c r="AA11" s="62" t="s">
        <v>200</v>
      </c>
      <c r="AB11" s="62" t="s">
        <v>201</v>
      </c>
      <c r="AC11" s="62" t="s">
        <v>202</v>
      </c>
      <c r="AD11" s="62" t="s">
        <v>203</v>
      </c>
    </row>
    <row r="12" spans="1:30" ht="15" x14ac:dyDescent="0.25">
      <c r="A12" s="65" t="s">
        <v>204</v>
      </c>
      <c r="B12" s="65" t="s">
        <v>205</v>
      </c>
      <c r="C12" s="65" t="s">
        <v>23</v>
      </c>
      <c r="D12" s="65" t="s">
        <v>206</v>
      </c>
      <c r="E12" s="65" t="s">
        <v>207</v>
      </c>
      <c r="F12" s="66">
        <v>6781290000</v>
      </c>
      <c r="G12" s="67">
        <v>45900</v>
      </c>
      <c r="H12" s="65">
        <v>13.8</v>
      </c>
      <c r="I12" s="65">
        <v>18.100000000000001</v>
      </c>
      <c r="J12" s="65">
        <v>-4.3</v>
      </c>
      <c r="K12" s="65">
        <v>14.57</v>
      </c>
      <c r="L12" s="65">
        <v>-0.77</v>
      </c>
      <c r="M12" s="65">
        <v>22.3</v>
      </c>
      <c r="N12" s="65">
        <v>25.05</v>
      </c>
      <c r="O12" s="65">
        <v>-2.75</v>
      </c>
      <c r="P12" s="65">
        <v>22.31</v>
      </c>
      <c r="Q12" s="65">
        <v>-0.01</v>
      </c>
      <c r="R12" s="65">
        <v>14.46</v>
      </c>
      <c r="S12" s="65">
        <v>16</v>
      </c>
      <c r="T12" s="65">
        <v>-1.54</v>
      </c>
      <c r="U12" s="65">
        <v>14.83</v>
      </c>
      <c r="V12" s="65">
        <f>R12-U12</f>
        <v>-0.36999999999999922</v>
      </c>
      <c r="W12" s="67">
        <v>45930</v>
      </c>
      <c r="X12" s="65" t="s">
        <v>208</v>
      </c>
      <c r="Y12" s="65" t="s">
        <v>209</v>
      </c>
      <c r="Z12" s="65" t="s">
        <v>210</v>
      </c>
      <c r="AA12" s="65" t="s">
        <v>211</v>
      </c>
      <c r="AB12" s="65" t="s">
        <v>212</v>
      </c>
      <c r="AC12" s="65" t="s">
        <v>213</v>
      </c>
      <c r="AD12" s="65" t="s">
        <v>214</v>
      </c>
    </row>
    <row r="13" spans="1:30" ht="15" x14ac:dyDescent="0.25">
      <c r="A13" s="68" t="s">
        <v>215</v>
      </c>
      <c r="B13" s="68" t="s">
        <v>216</v>
      </c>
      <c r="C13" s="78" t="s">
        <v>23</v>
      </c>
      <c r="D13" s="68" t="s">
        <v>217</v>
      </c>
      <c r="E13" s="68" t="s">
        <v>218</v>
      </c>
      <c r="F13" s="69">
        <v>893940000</v>
      </c>
      <c r="G13" s="70">
        <v>45838</v>
      </c>
      <c r="H13" s="68">
        <v>17.25</v>
      </c>
      <c r="I13" s="68">
        <v>24.78</v>
      </c>
      <c r="J13" s="68">
        <v>-7.53</v>
      </c>
      <c r="K13" s="68">
        <v>21.73</v>
      </c>
      <c r="L13" s="65">
        <f>H13-K13</f>
        <v>-4.4800000000000004</v>
      </c>
      <c r="M13" s="68">
        <v>31.08</v>
      </c>
      <c r="N13" s="68">
        <v>30.21</v>
      </c>
      <c r="O13" s="77">
        <v>0.87</v>
      </c>
      <c r="P13" s="68">
        <v>28.11</v>
      </c>
      <c r="Q13" s="77">
        <f>M13-P13</f>
        <v>2.9699999999999989</v>
      </c>
      <c r="R13" s="68">
        <v>14.78</v>
      </c>
      <c r="S13" s="68">
        <v>16.010000000000002</v>
      </c>
      <c r="T13" s="68">
        <v>-1.23</v>
      </c>
      <c r="U13" s="68">
        <v>13.71</v>
      </c>
      <c r="V13" s="76">
        <f t="shared" ref="V13:V24" si="0">R13-U13</f>
        <v>1.0699999999999985</v>
      </c>
      <c r="W13" s="70">
        <v>45930</v>
      </c>
      <c r="X13" s="68" t="s">
        <v>219</v>
      </c>
      <c r="Y13" s="68" t="s">
        <v>220</v>
      </c>
      <c r="Z13" s="68" t="s">
        <v>221</v>
      </c>
      <c r="AA13" s="68" t="s">
        <v>222</v>
      </c>
      <c r="AB13" s="68" t="s">
        <v>223</v>
      </c>
      <c r="AC13" s="68" t="s">
        <v>224</v>
      </c>
      <c r="AD13" s="68" t="s">
        <v>225</v>
      </c>
    </row>
    <row r="14" spans="1:30" ht="15" x14ac:dyDescent="0.25">
      <c r="A14" s="65" t="s">
        <v>226</v>
      </c>
      <c r="B14" s="65" t="s">
        <v>227</v>
      </c>
      <c r="C14" s="65" t="s">
        <v>228</v>
      </c>
      <c r="D14" s="65" t="s">
        <v>206</v>
      </c>
      <c r="E14" s="65" t="s">
        <v>229</v>
      </c>
      <c r="F14" s="66">
        <v>701820000</v>
      </c>
      <c r="G14" s="67">
        <v>45900</v>
      </c>
      <c r="H14" s="65">
        <v>12.81</v>
      </c>
      <c r="I14" s="65">
        <v>16.88</v>
      </c>
      <c r="J14" s="65">
        <v>-4.07</v>
      </c>
      <c r="K14" s="65">
        <v>13.41</v>
      </c>
      <c r="L14" s="65">
        <v>-0.6</v>
      </c>
      <c r="M14" s="65">
        <v>18.309999999999999</v>
      </c>
      <c r="N14" s="65">
        <v>22.98</v>
      </c>
      <c r="O14" s="65">
        <v>-4.67</v>
      </c>
      <c r="P14" s="65">
        <v>20.29</v>
      </c>
      <c r="Q14" s="65">
        <v>-1.98</v>
      </c>
      <c r="R14" s="65">
        <v>9.75</v>
      </c>
      <c r="S14" s="65">
        <v>13.55</v>
      </c>
      <c r="T14" s="65">
        <v>-3.8</v>
      </c>
      <c r="U14" s="65">
        <v>11.93</v>
      </c>
      <c r="V14" s="65">
        <f t="shared" si="0"/>
        <v>-2.1799999999999997</v>
      </c>
      <c r="W14" s="67">
        <v>45930</v>
      </c>
      <c r="X14" s="65" t="s">
        <v>230</v>
      </c>
      <c r="Y14" s="65" t="s">
        <v>231</v>
      </c>
      <c r="Z14" s="65" t="s">
        <v>232</v>
      </c>
      <c r="AA14" s="65"/>
      <c r="AB14" s="65" t="s">
        <v>233</v>
      </c>
      <c r="AC14" s="65" t="s">
        <v>233</v>
      </c>
      <c r="AD14" s="65" t="s">
        <v>234</v>
      </c>
    </row>
    <row r="15" spans="1:30" ht="15" x14ac:dyDescent="0.25">
      <c r="A15" s="65" t="s">
        <v>235</v>
      </c>
      <c r="B15" s="65" t="s">
        <v>236</v>
      </c>
      <c r="C15" s="65" t="s">
        <v>23</v>
      </c>
      <c r="D15" s="65" t="s">
        <v>206</v>
      </c>
      <c r="E15" s="65" t="s">
        <v>237</v>
      </c>
      <c r="F15" s="66">
        <v>1100000000</v>
      </c>
      <c r="G15" s="67">
        <v>45838</v>
      </c>
      <c r="H15" s="65">
        <v>10.99</v>
      </c>
      <c r="I15" s="65">
        <v>18.100000000000001</v>
      </c>
      <c r="J15" s="65">
        <v>-7.11</v>
      </c>
      <c r="K15" s="65">
        <v>14.57</v>
      </c>
      <c r="L15" s="65">
        <v>-3.58</v>
      </c>
      <c r="M15" s="65">
        <v>18.53</v>
      </c>
      <c r="N15" s="65">
        <v>25.05</v>
      </c>
      <c r="O15" s="65">
        <v>-6.52</v>
      </c>
      <c r="P15" s="65">
        <v>22.31</v>
      </c>
      <c r="Q15" s="65">
        <v>-3.78</v>
      </c>
      <c r="R15" s="65">
        <v>13.22</v>
      </c>
      <c r="S15" s="65">
        <v>16</v>
      </c>
      <c r="T15" s="65">
        <v>-2.78</v>
      </c>
      <c r="U15" s="65">
        <v>14.83</v>
      </c>
      <c r="V15" s="65">
        <f t="shared" si="0"/>
        <v>-1.6099999999999994</v>
      </c>
      <c r="W15" s="67">
        <v>45930</v>
      </c>
      <c r="X15" s="65" t="s">
        <v>238</v>
      </c>
      <c r="Y15" s="65" t="s">
        <v>239</v>
      </c>
      <c r="Z15" s="65" t="s">
        <v>240</v>
      </c>
      <c r="AA15" s="65" t="s">
        <v>241</v>
      </c>
      <c r="AB15" s="65" t="s">
        <v>242</v>
      </c>
      <c r="AC15" s="65" t="s">
        <v>243</v>
      </c>
      <c r="AD15" s="65" t="s">
        <v>244</v>
      </c>
    </row>
    <row r="16" spans="1:30" ht="15" x14ac:dyDescent="0.25">
      <c r="A16" s="71" t="s">
        <v>245</v>
      </c>
      <c r="B16" s="71" t="s">
        <v>246</v>
      </c>
      <c r="C16" s="71" t="s">
        <v>23</v>
      </c>
      <c r="D16" s="71" t="s">
        <v>247</v>
      </c>
      <c r="E16" s="71" t="s">
        <v>218</v>
      </c>
      <c r="F16" s="73">
        <v>5900000000</v>
      </c>
      <c r="G16" s="74">
        <v>45838</v>
      </c>
      <c r="H16" s="71">
        <v>3.02</v>
      </c>
      <c r="I16" s="71">
        <v>24.78</v>
      </c>
      <c r="J16" s="71">
        <v>-21.76</v>
      </c>
      <c r="K16" s="71"/>
      <c r="L16" s="7"/>
      <c r="M16" s="71">
        <v>14.53</v>
      </c>
      <c r="N16" s="71">
        <v>30.21</v>
      </c>
      <c r="O16" s="71">
        <v>-15.68</v>
      </c>
      <c r="P16" s="71"/>
      <c r="Q16" s="71"/>
      <c r="R16" s="71">
        <v>9.7100000000000009</v>
      </c>
      <c r="S16" s="71">
        <v>16.010000000000002</v>
      </c>
      <c r="T16" s="71">
        <v>-6.3</v>
      </c>
      <c r="U16" s="71"/>
      <c r="V16" s="7"/>
      <c r="W16" s="74">
        <v>45930</v>
      </c>
      <c r="X16" s="71" t="s">
        <v>248</v>
      </c>
      <c r="Y16" s="71" t="s">
        <v>249</v>
      </c>
      <c r="Z16" s="71" t="s">
        <v>250</v>
      </c>
      <c r="AA16" s="71" t="s">
        <v>251</v>
      </c>
      <c r="AB16" s="71" t="s">
        <v>252</v>
      </c>
      <c r="AC16" s="71" t="s">
        <v>253</v>
      </c>
      <c r="AD16" s="71" t="s">
        <v>254</v>
      </c>
    </row>
    <row r="17" spans="1:30" ht="15" x14ac:dyDescent="0.25">
      <c r="A17" s="65" t="s">
        <v>255</v>
      </c>
      <c r="B17" s="65" t="s">
        <v>256</v>
      </c>
      <c r="C17" s="65" t="s">
        <v>23</v>
      </c>
      <c r="D17" s="65" t="s">
        <v>206</v>
      </c>
      <c r="E17" s="65" t="s">
        <v>237</v>
      </c>
      <c r="F17" s="66">
        <v>28340000000</v>
      </c>
      <c r="G17" s="67">
        <v>45838</v>
      </c>
      <c r="H17" s="65">
        <v>10.199999999999999</v>
      </c>
      <c r="I17" s="65">
        <v>18.100000000000001</v>
      </c>
      <c r="J17" s="65">
        <v>-7.9</v>
      </c>
      <c r="K17" s="65">
        <v>14.57</v>
      </c>
      <c r="L17" s="65">
        <v>-4.37</v>
      </c>
      <c r="M17" s="65">
        <v>21.51</v>
      </c>
      <c r="N17" s="65">
        <v>25.05</v>
      </c>
      <c r="O17" s="65">
        <v>-3.54</v>
      </c>
      <c r="P17" s="65">
        <v>22.31</v>
      </c>
      <c r="Q17" s="65">
        <v>-0.8</v>
      </c>
      <c r="R17" s="65">
        <v>13.65</v>
      </c>
      <c r="S17" s="65">
        <v>16</v>
      </c>
      <c r="T17" s="65">
        <v>-2.35</v>
      </c>
      <c r="U17" s="65">
        <v>14.83</v>
      </c>
      <c r="V17" s="65">
        <f t="shared" si="0"/>
        <v>-1.1799999999999997</v>
      </c>
      <c r="W17" s="67">
        <v>45930</v>
      </c>
      <c r="X17" s="65" t="s">
        <v>257</v>
      </c>
      <c r="Y17" s="65" t="s">
        <v>258</v>
      </c>
      <c r="Z17" s="65" t="s">
        <v>259</v>
      </c>
      <c r="AA17" s="65" t="s">
        <v>260</v>
      </c>
      <c r="AB17" s="65" t="s">
        <v>261</v>
      </c>
      <c r="AC17" s="65" t="s">
        <v>262</v>
      </c>
      <c r="AD17" s="65" t="s">
        <v>263</v>
      </c>
    </row>
    <row r="18" spans="1:30" ht="15" x14ac:dyDescent="0.25">
      <c r="A18" s="65" t="s">
        <v>264</v>
      </c>
      <c r="B18" s="65" t="s">
        <v>265</v>
      </c>
      <c r="C18" s="65" t="s">
        <v>228</v>
      </c>
      <c r="D18" s="65" t="s">
        <v>266</v>
      </c>
      <c r="E18" s="65" t="s">
        <v>267</v>
      </c>
      <c r="F18" s="66">
        <v>86000000</v>
      </c>
      <c r="G18" s="75">
        <v>45900</v>
      </c>
      <c r="H18" s="65">
        <v>12.79</v>
      </c>
      <c r="I18" s="65">
        <v>16.88</v>
      </c>
      <c r="J18" s="65">
        <v>-4.09</v>
      </c>
      <c r="K18" s="65">
        <v>13.41</v>
      </c>
      <c r="L18" s="65">
        <v>-0.62</v>
      </c>
      <c r="M18" s="65">
        <v>15.86</v>
      </c>
      <c r="N18" s="65">
        <v>22.98</v>
      </c>
      <c r="O18" s="65">
        <v>-7.12</v>
      </c>
      <c r="P18" s="65">
        <v>20.29</v>
      </c>
      <c r="Q18" s="65">
        <v>-4.43</v>
      </c>
      <c r="R18" s="65" t="s">
        <v>268</v>
      </c>
      <c r="S18" s="65" t="s">
        <v>268</v>
      </c>
      <c r="T18" s="65" t="s">
        <v>233</v>
      </c>
      <c r="U18" s="65">
        <v>11.93</v>
      </c>
      <c r="V18" s="65"/>
      <c r="W18" s="67">
        <v>45930</v>
      </c>
      <c r="X18" s="65" t="s">
        <v>269</v>
      </c>
      <c r="Y18" s="65" t="s">
        <v>270</v>
      </c>
      <c r="Z18" s="65" t="s">
        <v>271</v>
      </c>
      <c r="AA18" s="65" t="s">
        <v>272</v>
      </c>
      <c r="AB18" s="65" t="s">
        <v>273</v>
      </c>
      <c r="AC18" s="65" t="s">
        <v>274</v>
      </c>
      <c r="AD18" s="65" t="s">
        <v>275</v>
      </c>
    </row>
    <row r="19" spans="1:30" ht="15" x14ac:dyDescent="0.25">
      <c r="A19" s="7" t="s">
        <v>276</v>
      </c>
      <c r="B19" s="7" t="s">
        <v>277</v>
      </c>
      <c r="C19" s="7" t="s">
        <v>23</v>
      </c>
      <c r="D19" s="7" t="s">
        <v>278</v>
      </c>
      <c r="E19" s="7" t="s">
        <v>279</v>
      </c>
      <c r="F19" s="63">
        <v>266500000</v>
      </c>
      <c r="G19" s="64">
        <v>45900</v>
      </c>
      <c r="H19" s="7">
        <v>6.72</v>
      </c>
      <c r="I19" s="7">
        <v>18.100000000000001</v>
      </c>
      <c r="J19" s="7">
        <v>-11.38</v>
      </c>
      <c r="K19" s="7"/>
      <c r="L19" s="7"/>
      <c r="M19" s="7">
        <v>14.82</v>
      </c>
      <c r="N19" s="7">
        <v>25.05</v>
      </c>
      <c r="O19" s="7">
        <v>-10.23</v>
      </c>
      <c r="P19" s="7"/>
      <c r="Q19" s="7"/>
      <c r="R19" s="7">
        <v>11.3</v>
      </c>
      <c r="S19" s="7">
        <v>16</v>
      </c>
      <c r="T19" s="7">
        <v>-4.7</v>
      </c>
      <c r="U19" s="7"/>
      <c r="V19" s="7">
        <f t="shared" si="0"/>
        <v>11.3</v>
      </c>
      <c r="W19" s="64">
        <v>45930</v>
      </c>
      <c r="X19" s="7" t="s">
        <v>280</v>
      </c>
      <c r="Y19" s="7" t="s">
        <v>281</v>
      </c>
      <c r="Z19" s="7" t="s">
        <v>282</v>
      </c>
      <c r="AA19" s="7" t="s">
        <v>283</v>
      </c>
      <c r="AB19" s="7" t="s">
        <v>284</v>
      </c>
      <c r="AC19" s="7" t="s">
        <v>285</v>
      </c>
      <c r="AD19" s="7" t="s">
        <v>286</v>
      </c>
    </row>
    <row r="20" spans="1:30" ht="15" x14ac:dyDescent="0.25">
      <c r="A20" s="65" t="s">
        <v>287</v>
      </c>
      <c r="B20" s="65" t="s">
        <v>288</v>
      </c>
      <c r="C20" s="65" t="s">
        <v>228</v>
      </c>
      <c r="D20" s="65" t="s">
        <v>289</v>
      </c>
      <c r="E20" s="65" t="s">
        <v>290</v>
      </c>
      <c r="F20" s="66">
        <v>98720000</v>
      </c>
      <c r="G20" s="67">
        <v>45900</v>
      </c>
      <c r="H20" s="65">
        <v>9.1</v>
      </c>
      <c r="I20" s="65">
        <v>16.88</v>
      </c>
      <c r="J20" s="65">
        <v>-7.78</v>
      </c>
      <c r="K20" s="65">
        <v>13.41</v>
      </c>
      <c r="L20" s="65">
        <v>-4.3099999999999996</v>
      </c>
      <c r="M20" s="65">
        <v>16.09</v>
      </c>
      <c r="N20" s="65">
        <v>22.98</v>
      </c>
      <c r="O20" s="65">
        <v>-6.89</v>
      </c>
      <c r="P20" s="65">
        <v>20.29</v>
      </c>
      <c r="Q20" s="65">
        <v>-4.2</v>
      </c>
      <c r="R20" s="65" t="s">
        <v>268</v>
      </c>
      <c r="S20" s="65" t="s">
        <v>268</v>
      </c>
      <c r="T20" s="65" t="s">
        <v>233</v>
      </c>
      <c r="U20" s="65">
        <v>11.93</v>
      </c>
      <c r="V20" s="65"/>
      <c r="W20" s="67">
        <v>45930</v>
      </c>
      <c r="X20" s="65" t="s">
        <v>291</v>
      </c>
      <c r="Y20" s="65" t="s">
        <v>292</v>
      </c>
      <c r="Z20" s="65" t="s">
        <v>293</v>
      </c>
      <c r="AA20" s="65" t="s">
        <v>294</v>
      </c>
      <c r="AB20" s="65" t="s">
        <v>295</v>
      </c>
      <c r="AC20" s="65" t="s">
        <v>296</v>
      </c>
      <c r="AD20" s="65" t="s">
        <v>297</v>
      </c>
    </row>
    <row r="21" spans="1:30" ht="12.75" customHeight="1" x14ac:dyDescent="0.25">
      <c r="A21" s="65" t="s">
        <v>298</v>
      </c>
      <c r="B21" s="65" t="s">
        <v>299</v>
      </c>
      <c r="C21" s="65" t="s">
        <v>23</v>
      </c>
      <c r="D21" s="65" t="s">
        <v>300</v>
      </c>
      <c r="E21" s="65" t="s">
        <v>301</v>
      </c>
      <c r="F21" s="66">
        <v>74200000</v>
      </c>
      <c r="G21" s="67">
        <v>45930</v>
      </c>
      <c r="H21" s="65">
        <v>14.18</v>
      </c>
      <c r="I21" s="65">
        <v>18.100000000000001</v>
      </c>
      <c r="J21" s="65">
        <v>-3.92</v>
      </c>
      <c r="K21" s="65">
        <v>14.57</v>
      </c>
      <c r="L21" s="65">
        <v>-0.39</v>
      </c>
      <c r="M21" s="65">
        <v>22.31</v>
      </c>
      <c r="N21" s="65">
        <v>25.25</v>
      </c>
      <c r="O21" s="65">
        <v>-2.94</v>
      </c>
      <c r="P21" s="65">
        <v>22.31</v>
      </c>
      <c r="Q21" s="76" t="s">
        <v>302</v>
      </c>
      <c r="R21" s="65">
        <v>14.12</v>
      </c>
      <c r="S21" s="65">
        <v>16</v>
      </c>
      <c r="T21" s="65">
        <v>-1.88</v>
      </c>
      <c r="U21" s="65">
        <v>14.83</v>
      </c>
      <c r="V21" s="65">
        <f t="shared" si="0"/>
        <v>-0.71000000000000085</v>
      </c>
      <c r="W21" s="65" t="s">
        <v>233</v>
      </c>
      <c r="X21" s="65" t="s">
        <v>303</v>
      </c>
      <c r="Y21" s="65" t="s">
        <v>304</v>
      </c>
      <c r="Z21" s="65"/>
      <c r="AA21" s="65" t="s">
        <v>233</v>
      </c>
      <c r="AB21" s="65" t="s">
        <v>233</v>
      </c>
      <c r="AC21" s="65" t="s">
        <v>233</v>
      </c>
      <c r="AD21" s="65" t="s">
        <v>233</v>
      </c>
    </row>
    <row r="22" spans="1:30" ht="14.25" customHeight="1" x14ac:dyDescent="0.25">
      <c r="A22" s="72" t="s">
        <v>305</v>
      </c>
      <c r="B22" s="65" t="s">
        <v>306</v>
      </c>
      <c r="C22" s="65" t="s">
        <v>23</v>
      </c>
      <c r="D22" s="65" t="s">
        <v>300</v>
      </c>
      <c r="E22" s="65" t="s">
        <v>301</v>
      </c>
      <c r="F22" s="66">
        <v>1800000000</v>
      </c>
      <c r="G22" s="67">
        <v>45930</v>
      </c>
      <c r="H22" s="65">
        <v>17.21</v>
      </c>
      <c r="I22" s="65">
        <v>19.559999999999999</v>
      </c>
      <c r="J22" s="65">
        <v>-2.35</v>
      </c>
      <c r="K22" s="65">
        <v>14.57</v>
      </c>
      <c r="L22" s="76">
        <v>2.64</v>
      </c>
      <c r="M22" s="65">
        <v>24.92</v>
      </c>
      <c r="N22" s="65">
        <v>25.18</v>
      </c>
      <c r="O22" s="65">
        <v>-0.26</v>
      </c>
      <c r="P22" s="65">
        <v>22.31</v>
      </c>
      <c r="Q22" s="76">
        <v>2.61</v>
      </c>
      <c r="R22" s="65">
        <v>15.86</v>
      </c>
      <c r="S22" s="65">
        <v>15.91</v>
      </c>
      <c r="T22" s="65">
        <v>-0.05</v>
      </c>
      <c r="U22" s="65">
        <v>14.83</v>
      </c>
      <c r="V22" s="76">
        <f t="shared" si="0"/>
        <v>1.0299999999999994</v>
      </c>
      <c r="W22" s="65" t="s">
        <v>233</v>
      </c>
      <c r="X22" s="65" t="s">
        <v>307</v>
      </c>
      <c r="Y22" s="65" t="s">
        <v>308</v>
      </c>
      <c r="Z22" s="65"/>
      <c r="AA22" s="65" t="s">
        <v>233</v>
      </c>
      <c r="AB22" s="65" t="s">
        <v>233</v>
      </c>
      <c r="AC22" s="65" t="s">
        <v>233</v>
      </c>
      <c r="AD22" s="65" t="s">
        <v>233</v>
      </c>
    </row>
    <row r="23" spans="1:30" ht="16.5" customHeight="1" x14ac:dyDescent="0.25">
      <c r="A23" s="72" t="s">
        <v>309</v>
      </c>
      <c r="B23" s="65" t="s">
        <v>310</v>
      </c>
      <c r="C23" s="65" t="s">
        <v>23</v>
      </c>
      <c r="D23" s="65" t="s">
        <v>311</v>
      </c>
      <c r="E23" s="65" t="s">
        <v>312</v>
      </c>
      <c r="F23" s="66">
        <v>57600000</v>
      </c>
      <c r="G23" s="67">
        <v>45930</v>
      </c>
      <c r="H23" s="65">
        <v>22.67</v>
      </c>
      <c r="I23" s="65">
        <v>19.559999999999999</v>
      </c>
      <c r="J23" s="76">
        <v>3.11</v>
      </c>
      <c r="K23" s="65">
        <v>14.57</v>
      </c>
      <c r="L23" s="76">
        <v>8.1</v>
      </c>
      <c r="M23" s="65">
        <v>26.79</v>
      </c>
      <c r="N23" s="65">
        <v>25.18</v>
      </c>
      <c r="O23" s="76">
        <v>1.61</v>
      </c>
      <c r="P23" s="65">
        <v>22.31</v>
      </c>
      <c r="Q23" s="76">
        <v>4.4800000000000004</v>
      </c>
      <c r="R23" s="65">
        <v>16.63</v>
      </c>
      <c r="S23" s="65">
        <v>15.91</v>
      </c>
      <c r="T23" s="76">
        <v>0.72</v>
      </c>
      <c r="U23" s="65">
        <v>14.83</v>
      </c>
      <c r="V23" s="76">
        <f t="shared" si="0"/>
        <v>1.7999999999999989</v>
      </c>
      <c r="W23" s="65" t="s">
        <v>233</v>
      </c>
      <c r="X23" s="76" t="s">
        <v>313</v>
      </c>
      <c r="Y23" s="65" t="s">
        <v>314</v>
      </c>
      <c r="Z23" s="65" t="s">
        <v>233</v>
      </c>
      <c r="AA23" s="65" t="s">
        <v>233</v>
      </c>
      <c r="AB23" s="65" t="s">
        <v>233</v>
      </c>
      <c r="AC23" s="65" t="s">
        <v>233</v>
      </c>
      <c r="AD23" s="65" t="s">
        <v>233</v>
      </c>
    </row>
    <row r="24" spans="1:30" ht="15" x14ac:dyDescent="0.25">
      <c r="A24" s="7" t="s">
        <v>315</v>
      </c>
      <c r="B24" s="7" t="s">
        <v>316</v>
      </c>
      <c r="C24" s="7" t="s">
        <v>228</v>
      </c>
      <c r="D24" s="7" t="s">
        <v>311</v>
      </c>
      <c r="E24" s="7" t="s">
        <v>317</v>
      </c>
      <c r="F24" s="63">
        <v>809500000</v>
      </c>
      <c r="G24" s="64">
        <v>45930</v>
      </c>
      <c r="H24" s="7">
        <v>10.36</v>
      </c>
      <c r="I24" s="7">
        <v>18.149999999999999</v>
      </c>
      <c r="J24" s="7">
        <v>-7.79</v>
      </c>
      <c r="K24" s="7">
        <v>15.14</v>
      </c>
      <c r="L24" s="7"/>
      <c r="M24" s="7">
        <v>17.489999999999998</v>
      </c>
      <c r="N24" s="7">
        <v>23.14</v>
      </c>
      <c r="O24" s="7">
        <v>-5.65</v>
      </c>
      <c r="P24" s="7">
        <v>20.75</v>
      </c>
      <c r="Q24" s="7"/>
      <c r="R24" s="7">
        <v>9.7799999999999994</v>
      </c>
      <c r="S24" s="7">
        <v>13.52</v>
      </c>
      <c r="T24" s="7">
        <v>-3.74</v>
      </c>
      <c r="U24" s="7">
        <v>12.12</v>
      </c>
      <c r="V24" s="7">
        <f t="shared" si="0"/>
        <v>-2.34</v>
      </c>
      <c r="W24" s="7"/>
      <c r="X24" s="7" t="s">
        <v>318</v>
      </c>
      <c r="Y24" s="7" t="s">
        <v>319</v>
      </c>
      <c r="Z24" s="7"/>
      <c r="AA24" s="7"/>
      <c r="AB24" s="7"/>
      <c r="AC24" s="7"/>
      <c r="AD24" s="7"/>
    </row>
    <row r="25" spans="1:30" ht="15"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spans="1:30" ht="15" x14ac:dyDescent="0.25">
      <c r="A26" s="7" t="s">
        <v>320</v>
      </c>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spans="1:30" ht="15" x14ac:dyDescent="0.25">
      <c r="A27" s="7" t="s">
        <v>321</v>
      </c>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spans="1:30" ht="13.5" customHeight="1" x14ac:dyDescent="0.25">
      <c r="A28" s="7" t="s">
        <v>322</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spans="1:30" ht="13.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spans="1:30" ht="13.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spans="1:30" ht="35.25" customHeight="1" x14ac:dyDescent="0.25">
      <c r="A31" s="11" t="s">
        <v>193</v>
      </c>
      <c r="B31" s="79" t="s">
        <v>323</v>
      </c>
      <c r="C31" s="79" t="s">
        <v>324</v>
      </c>
      <c r="D31" s="11" t="s">
        <v>325</v>
      </c>
      <c r="E31" s="11" t="s">
        <v>326</v>
      </c>
      <c r="F31" s="79" t="s">
        <v>327</v>
      </c>
      <c r="G31" s="79" t="s">
        <v>328</v>
      </c>
      <c r="H31" s="11" t="s">
        <v>329</v>
      </c>
      <c r="I31" s="79" t="s">
        <v>309</v>
      </c>
      <c r="J31" s="11" t="s">
        <v>330</v>
      </c>
      <c r="K31" s="12" t="s">
        <v>331</v>
      </c>
      <c r="L31" s="11" t="s">
        <v>332</v>
      </c>
      <c r="M31" s="47" t="s">
        <v>333</v>
      </c>
      <c r="N31" s="48" t="s">
        <v>334</v>
      </c>
      <c r="O31" s="48" t="s">
        <v>335</v>
      </c>
      <c r="P31" s="80" t="s">
        <v>336</v>
      </c>
      <c r="Q31" s="80" t="s">
        <v>337</v>
      </c>
      <c r="R31" s="57" t="s">
        <v>338</v>
      </c>
      <c r="S31" s="81" t="s">
        <v>339</v>
      </c>
      <c r="T31" s="82" t="s">
        <v>235</v>
      </c>
      <c r="U31" s="83" t="s">
        <v>340</v>
      </c>
      <c r="V31" s="84" t="s">
        <v>341</v>
      </c>
      <c r="W31" s="84" t="s">
        <v>342</v>
      </c>
    </row>
    <row r="32" spans="1:30" ht="270" x14ac:dyDescent="0.25">
      <c r="A32" s="11" t="s">
        <v>343</v>
      </c>
      <c r="B32" s="13" t="s">
        <v>344</v>
      </c>
      <c r="C32" s="13" t="s">
        <v>345</v>
      </c>
      <c r="D32" s="13" t="s">
        <v>346</v>
      </c>
      <c r="E32" s="13" t="s">
        <v>346</v>
      </c>
      <c r="F32" s="13" t="s">
        <v>347</v>
      </c>
      <c r="G32" s="13" t="s">
        <v>346</v>
      </c>
      <c r="H32" s="13" t="s">
        <v>348</v>
      </c>
      <c r="I32" s="13" t="s">
        <v>349</v>
      </c>
      <c r="J32" s="13" t="s">
        <v>350</v>
      </c>
      <c r="K32" s="13" t="s">
        <v>351</v>
      </c>
      <c r="L32" s="13" t="s">
        <v>352</v>
      </c>
      <c r="M32" s="49" t="s">
        <v>233</v>
      </c>
      <c r="N32" s="50" t="s">
        <v>353</v>
      </c>
      <c r="O32" s="50" t="s">
        <v>354</v>
      </c>
      <c r="P32" s="51" t="s">
        <v>233</v>
      </c>
      <c r="Q32" s="50" t="s">
        <v>355</v>
      </c>
      <c r="R32" s="58" t="s">
        <v>356</v>
      </c>
      <c r="S32" s="56"/>
    </row>
    <row r="33" spans="1:21" ht="54" x14ac:dyDescent="0.25">
      <c r="A33" s="11" t="s">
        <v>357</v>
      </c>
      <c r="B33" s="13" t="s">
        <v>358</v>
      </c>
      <c r="C33" s="13" t="s">
        <v>359</v>
      </c>
      <c r="D33" s="13" t="s">
        <v>360</v>
      </c>
      <c r="E33" s="13" t="s">
        <v>360</v>
      </c>
      <c r="F33" s="13" t="s">
        <v>361</v>
      </c>
      <c r="G33" s="13" t="s">
        <v>360</v>
      </c>
      <c r="H33" s="13" t="s">
        <v>233</v>
      </c>
      <c r="I33" s="14" t="s">
        <v>233</v>
      </c>
      <c r="J33" s="14" t="s">
        <v>233</v>
      </c>
      <c r="K33" s="14" t="s">
        <v>233</v>
      </c>
      <c r="L33" s="15" t="s">
        <v>233</v>
      </c>
      <c r="M33" s="49" t="s">
        <v>233</v>
      </c>
      <c r="N33" s="52" t="s">
        <v>362</v>
      </c>
      <c r="O33" s="51" t="s">
        <v>363</v>
      </c>
      <c r="P33" s="51" t="s">
        <v>233</v>
      </c>
      <c r="Q33" s="51" t="s">
        <v>233</v>
      </c>
      <c r="R33" s="59" t="s">
        <v>364</v>
      </c>
      <c r="S33" s="56"/>
    </row>
    <row r="34" spans="1:21" ht="27" x14ac:dyDescent="0.25">
      <c r="A34" s="11" t="s">
        <v>365</v>
      </c>
      <c r="B34" s="13" t="s">
        <v>366</v>
      </c>
      <c r="C34" s="13" t="s">
        <v>367</v>
      </c>
      <c r="D34" s="13" t="s">
        <v>368</v>
      </c>
      <c r="E34" s="13" t="s">
        <v>369</v>
      </c>
      <c r="F34" s="13" t="s">
        <v>370</v>
      </c>
      <c r="G34" s="13" t="s">
        <v>371</v>
      </c>
      <c r="H34" s="13" t="s">
        <v>372</v>
      </c>
      <c r="I34" s="13" t="s">
        <v>373</v>
      </c>
      <c r="J34" s="13" t="s">
        <v>374</v>
      </c>
      <c r="K34" s="13" t="s">
        <v>375</v>
      </c>
      <c r="L34" s="13" t="s">
        <v>376</v>
      </c>
      <c r="M34" s="49" t="s">
        <v>377</v>
      </c>
      <c r="N34" s="50" t="s">
        <v>378</v>
      </c>
      <c r="O34" s="50" t="s">
        <v>379</v>
      </c>
      <c r="P34" s="50" t="s">
        <v>380</v>
      </c>
      <c r="Q34" s="50" t="s">
        <v>256</v>
      </c>
      <c r="R34" s="58" t="s">
        <v>381</v>
      </c>
      <c r="S34" s="56" t="s">
        <v>277</v>
      </c>
      <c r="T34" t="s">
        <v>236</v>
      </c>
      <c r="U34" t="s">
        <v>382</v>
      </c>
    </row>
    <row r="35" spans="1:21" ht="27" x14ac:dyDescent="0.25">
      <c r="A35" s="11" t="s">
        <v>383</v>
      </c>
      <c r="B35" s="13" t="s">
        <v>384</v>
      </c>
      <c r="C35" s="13" t="s">
        <v>385</v>
      </c>
      <c r="D35" s="13" t="s">
        <v>386</v>
      </c>
      <c r="E35" s="13" t="s">
        <v>386</v>
      </c>
      <c r="F35" s="16" t="s">
        <v>387</v>
      </c>
      <c r="G35" s="16" t="s">
        <v>387</v>
      </c>
      <c r="H35" s="16" t="s">
        <v>388</v>
      </c>
      <c r="I35" s="13" t="s">
        <v>389</v>
      </c>
      <c r="J35" s="13" t="s">
        <v>390</v>
      </c>
      <c r="K35" s="14" t="s">
        <v>233</v>
      </c>
      <c r="L35" s="15" t="s">
        <v>391</v>
      </c>
      <c r="M35" s="49" t="s">
        <v>233</v>
      </c>
      <c r="N35" s="51" t="s">
        <v>392</v>
      </c>
      <c r="O35" s="51" t="s">
        <v>233</v>
      </c>
      <c r="P35" s="51" t="s">
        <v>233</v>
      </c>
      <c r="Q35" s="51" t="s">
        <v>233</v>
      </c>
      <c r="R35" s="60" t="s">
        <v>233</v>
      </c>
      <c r="S35" s="56" t="s">
        <v>393</v>
      </c>
      <c r="U35" t="s">
        <v>206</v>
      </c>
    </row>
    <row r="36" spans="1:21" ht="15" x14ac:dyDescent="0.25">
      <c r="A36" s="11" t="s">
        <v>394</v>
      </c>
      <c r="B36" s="17">
        <v>46011</v>
      </c>
      <c r="C36" s="17">
        <v>45799</v>
      </c>
      <c r="D36" s="18">
        <v>36404</v>
      </c>
      <c r="E36" s="17">
        <v>45724</v>
      </c>
      <c r="F36" s="18">
        <v>34394</v>
      </c>
      <c r="G36" s="17">
        <v>45759</v>
      </c>
      <c r="H36" s="19">
        <v>45680</v>
      </c>
      <c r="I36" s="17">
        <v>45856</v>
      </c>
      <c r="J36" s="20">
        <v>44652</v>
      </c>
      <c r="K36" s="14" t="s">
        <v>233</v>
      </c>
      <c r="L36" s="21">
        <v>45984</v>
      </c>
      <c r="M36" s="53">
        <v>46014</v>
      </c>
      <c r="N36" s="54">
        <v>45949</v>
      </c>
      <c r="O36" s="51" t="s">
        <v>233</v>
      </c>
      <c r="P36" s="51" t="s">
        <v>233</v>
      </c>
      <c r="Q36" s="51" t="s">
        <v>233</v>
      </c>
      <c r="R36" s="60" t="s">
        <v>233</v>
      </c>
      <c r="S36" s="56"/>
    </row>
    <row r="37" spans="1:21" ht="15" x14ac:dyDescent="0.25">
      <c r="A37" s="11" t="s">
        <v>395</v>
      </c>
      <c r="B37" s="25" t="s">
        <v>396</v>
      </c>
      <c r="C37" s="25" t="s">
        <v>397</v>
      </c>
      <c r="D37" s="25" t="s">
        <v>398</v>
      </c>
      <c r="E37" s="25" t="s">
        <v>399</v>
      </c>
      <c r="F37" s="25" t="s">
        <v>400</v>
      </c>
      <c r="G37" s="25" t="s">
        <v>401</v>
      </c>
      <c r="H37" s="26" t="s">
        <v>402</v>
      </c>
      <c r="I37" s="25" t="s">
        <v>403</v>
      </c>
      <c r="J37" s="26" t="s">
        <v>404</v>
      </c>
      <c r="K37" s="27" t="s">
        <v>233</v>
      </c>
      <c r="L37" s="28" t="s">
        <v>233</v>
      </c>
      <c r="M37" s="49" t="s">
        <v>233</v>
      </c>
      <c r="N37" s="51" t="s">
        <v>405</v>
      </c>
      <c r="O37" s="51" t="s">
        <v>233</v>
      </c>
      <c r="P37" s="51" t="s">
        <v>233</v>
      </c>
      <c r="Q37" s="51" t="s">
        <v>233</v>
      </c>
      <c r="R37" s="60" t="s">
        <v>233</v>
      </c>
      <c r="S37" s="56" t="s">
        <v>406</v>
      </c>
      <c r="T37" t="s">
        <v>407</v>
      </c>
      <c r="U37" t="s">
        <v>407</v>
      </c>
    </row>
    <row r="38" spans="1:21" ht="15" x14ac:dyDescent="0.25">
      <c r="A38" s="91" t="s">
        <v>408</v>
      </c>
      <c r="B38" s="33" t="s">
        <v>409</v>
      </c>
      <c r="C38" s="34">
        <v>0.13400000000000001</v>
      </c>
      <c r="D38" s="34">
        <v>0.1142</v>
      </c>
      <c r="E38" s="34">
        <v>0.10249999999999999</v>
      </c>
      <c r="F38" s="35">
        <v>8.1900000000000001E-2</v>
      </c>
      <c r="G38" s="34">
        <v>8.2400000000000001E-2</v>
      </c>
      <c r="H38" s="36" t="s">
        <v>410</v>
      </c>
      <c r="I38" s="37" t="s">
        <v>411</v>
      </c>
      <c r="J38" s="35">
        <v>9.6299999999999997E-2</v>
      </c>
      <c r="K38" s="45" t="s">
        <v>412</v>
      </c>
      <c r="L38" s="38">
        <v>0.1173</v>
      </c>
      <c r="M38" s="49" t="s">
        <v>233</v>
      </c>
      <c r="N38" s="51">
        <v>17.41</v>
      </c>
      <c r="O38" s="51" t="s">
        <v>233</v>
      </c>
      <c r="P38" s="51" t="s">
        <v>233</v>
      </c>
      <c r="Q38" s="51" t="s">
        <v>233</v>
      </c>
      <c r="R38" s="60" t="s">
        <v>233</v>
      </c>
      <c r="S38" s="56"/>
    </row>
    <row r="39" spans="1:21" ht="15" x14ac:dyDescent="0.25">
      <c r="A39" s="91"/>
      <c r="B39" s="39" t="s">
        <v>413</v>
      </c>
      <c r="C39" s="8" t="s">
        <v>414</v>
      </c>
      <c r="D39" s="8" t="s">
        <v>413</v>
      </c>
      <c r="E39" s="8" t="s">
        <v>413</v>
      </c>
      <c r="F39" s="8" t="s">
        <v>415</v>
      </c>
      <c r="G39" s="8" t="s">
        <v>415</v>
      </c>
      <c r="H39" s="8" t="s">
        <v>415</v>
      </c>
      <c r="I39" s="8" t="s">
        <v>416</v>
      </c>
      <c r="J39" s="8" t="s">
        <v>417</v>
      </c>
      <c r="K39" s="9" t="s">
        <v>233</v>
      </c>
      <c r="L39" s="40">
        <v>0.14299999999999999</v>
      </c>
      <c r="M39" s="49" t="s">
        <v>233</v>
      </c>
      <c r="N39" s="51" t="s">
        <v>233</v>
      </c>
      <c r="O39" s="51" t="s">
        <v>233</v>
      </c>
      <c r="P39" s="51" t="s">
        <v>233</v>
      </c>
      <c r="Q39" s="51" t="s">
        <v>233</v>
      </c>
      <c r="R39" s="60" t="s">
        <v>233</v>
      </c>
      <c r="S39" s="56"/>
    </row>
    <row r="40" spans="1:21" ht="15" x14ac:dyDescent="0.25">
      <c r="A40" s="91"/>
      <c r="B40" s="41" t="s">
        <v>418</v>
      </c>
      <c r="C40" s="42" t="s">
        <v>418</v>
      </c>
      <c r="D40" s="42" t="s">
        <v>418</v>
      </c>
      <c r="E40" s="42" t="s">
        <v>418</v>
      </c>
      <c r="F40" s="42" t="s">
        <v>419</v>
      </c>
      <c r="G40" s="42" t="s">
        <v>419</v>
      </c>
      <c r="H40" s="42" t="s">
        <v>419</v>
      </c>
      <c r="I40" s="42" t="s">
        <v>420</v>
      </c>
      <c r="J40" s="42" t="s">
        <v>421</v>
      </c>
      <c r="K40" s="43" t="s">
        <v>233</v>
      </c>
      <c r="L40" s="44" t="s">
        <v>64</v>
      </c>
      <c r="M40" s="49" t="s">
        <v>233</v>
      </c>
      <c r="N40" s="51" t="s">
        <v>233</v>
      </c>
      <c r="O40" s="51" t="s">
        <v>233</v>
      </c>
      <c r="P40" s="51" t="s">
        <v>233</v>
      </c>
      <c r="Q40" s="51" t="s">
        <v>233</v>
      </c>
      <c r="R40" s="60" t="s">
        <v>233</v>
      </c>
      <c r="S40" s="56"/>
    </row>
    <row r="41" spans="1:21" ht="15" x14ac:dyDescent="0.25">
      <c r="A41" s="11" t="s">
        <v>422</v>
      </c>
      <c r="B41" s="29">
        <v>8.8999999999999999E-3</v>
      </c>
      <c r="C41" s="29">
        <v>0.01</v>
      </c>
      <c r="D41" s="29">
        <v>1.2E-2</v>
      </c>
      <c r="E41" s="30">
        <v>9.2999999999999992E-3</v>
      </c>
      <c r="F41" s="30">
        <v>7.0000000000000001E-3</v>
      </c>
      <c r="G41" s="31" t="s">
        <v>233</v>
      </c>
      <c r="H41" s="30">
        <v>1.4E-3</v>
      </c>
      <c r="I41" s="30">
        <v>4.8999999999999998E-3</v>
      </c>
      <c r="J41" s="30">
        <v>5.0000000000000001E-3</v>
      </c>
      <c r="K41" s="30">
        <v>2.5000000000000001E-3</v>
      </c>
      <c r="L41" s="32">
        <v>8.0000000000000002E-3</v>
      </c>
      <c r="M41" s="49" t="s">
        <v>233</v>
      </c>
      <c r="N41" s="55">
        <v>8.0000000000000002E-3</v>
      </c>
      <c r="O41" s="51" t="s">
        <v>233</v>
      </c>
      <c r="P41" s="51" t="s">
        <v>233</v>
      </c>
      <c r="Q41" s="51" t="s">
        <v>233</v>
      </c>
      <c r="R41" s="60" t="s">
        <v>233</v>
      </c>
      <c r="S41" s="56"/>
    </row>
    <row r="42" spans="1:21" ht="114.75" customHeight="1" x14ac:dyDescent="0.25">
      <c r="A42" s="11" t="s">
        <v>423</v>
      </c>
      <c r="B42" s="13" t="s">
        <v>424</v>
      </c>
      <c r="C42" s="13" t="s">
        <v>425</v>
      </c>
      <c r="D42" s="13" t="s">
        <v>426</v>
      </c>
      <c r="E42" s="13" t="s">
        <v>426</v>
      </c>
      <c r="F42" s="13" t="s">
        <v>427</v>
      </c>
      <c r="G42" s="13" t="s">
        <v>426</v>
      </c>
      <c r="H42" s="13" t="s">
        <v>426</v>
      </c>
      <c r="I42" s="13" t="s">
        <v>428</v>
      </c>
      <c r="J42" s="13" t="s">
        <v>426</v>
      </c>
      <c r="K42" s="14" t="s">
        <v>233</v>
      </c>
      <c r="L42" s="15" t="s">
        <v>233</v>
      </c>
      <c r="M42" s="49" t="s">
        <v>233</v>
      </c>
      <c r="N42" s="52" t="s">
        <v>233</v>
      </c>
      <c r="O42" s="51" t="s">
        <v>233</v>
      </c>
      <c r="P42" s="51" t="s">
        <v>233</v>
      </c>
      <c r="Q42" s="51" t="s">
        <v>233</v>
      </c>
      <c r="R42" s="60" t="s">
        <v>233</v>
      </c>
      <c r="S42" s="56"/>
    </row>
    <row r="43" spans="1:21" ht="40.5" x14ac:dyDescent="0.25">
      <c r="A43" s="11" t="s">
        <v>429</v>
      </c>
      <c r="B43" s="13" t="s">
        <v>430</v>
      </c>
      <c r="C43" s="13" t="s">
        <v>431</v>
      </c>
      <c r="D43" s="13" t="s">
        <v>432</v>
      </c>
      <c r="E43" s="13" t="s">
        <v>433</v>
      </c>
      <c r="F43" s="13" t="s">
        <v>434</v>
      </c>
      <c r="G43" s="13" t="s">
        <v>434</v>
      </c>
      <c r="H43" s="13" t="s">
        <v>435</v>
      </c>
      <c r="I43" s="13" t="s">
        <v>435</v>
      </c>
      <c r="J43" s="13" t="s">
        <v>436</v>
      </c>
      <c r="K43" s="13" t="s">
        <v>437</v>
      </c>
      <c r="L43" s="15" t="s">
        <v>233</v>
      </c>
      <c r="M43" s="49" t="s">
        <v>233</v>
      </c>
      <c r="N43" s="52" t="s">
        <v>438</v>
      </c>
      <c r="O43" s="51" t="s">
        <v>233</v>
      </c>
      <c r="P43" s="51" t="s">
        <v>233</v>
      </c>
      <c r="Q43" s="51" t="s">
        <v>233</v>
      </c>
      <c r="R43" s="60" t="s">
        <v>233</v>
      </c>
      <c r="S43" s="56"/>
    </row>
    <row r="44" spans="1:21" ht="15" x14ac:dyDescent="0.25">
      <c r="A44" s="11" t="s">
        <v>439</v>
      </c>
      <c r="B44" s="13" t="s">
        <v>440</v>
      </c>
      <c r="C44" s="13" t="s">
        <v>441</v>
      </c>
      <c r="D44" s="13" t="s">
        <v>442</v>
      </c>
      <c r="E44" s="13">
        <v>67</v>
      </c>
      <c r="F44" s="14" t="s">
        <v>443</v>
      </c>
      <c r="G44" s="13">
        <v>51</v>
      </c>
      <c r="H44" s="13">
        <v>273</v>
      </c>
      <c r="I44" s="14">
        <v>200</v>
      </c>
      <c r="J44" s="14" t="s">
        <v>233</v>
      </c>
      <c r="K44" s="14" t="s">
        <v>444</v>
      </c>
      <c r="L44" s="15" t="s">
        <v>445</v>
      </c>
      <c r="M44" s="49" t="s">
        <v>233</v>
      </c>
      <c r="N44" s="51">
        <v>31</v>
      </c>
      <c r="O44" s="51" t="s">
        <v>233</v>
      </c>
      <c r="P44" s="51" t="s">
        <v>233</v>
      </c>
      <c r="Q44" s="51" t="s">
        <v>233</v>
      </c>
      <c r="R44" s="60" t="s">
        <v>233</v>
      </c>
      <c r="S44" s="56"/>
    </row>
    <row r="45" spans="1:21" ht="52.5" customHeight="1" x14ac:dyDescent="0.25">
      <c r="A45" s="11" t="s">
        <v>446</v>
      </c>
      <c r="B45" s="13" t="s">
        <v>447</v>
      </c>
      <c r="C45" s="13" t="s">
        <v>448</v>
      </c>
      <c r="D45" s="13" t="s">
        <v>449</v>
      </c>
      <c r="E45" s="14" t="s">
        <v>233</v>
      </c>
      <c r="F45" s="13" t="s">
        <v>450</v>
      </c>
      <c r="G45" s="14" t="s">
        <v>233</v>
      </c>
      <c r="H45" s="14" t="s">
        <v>233</v>
      </c>
      <c r="I45" s="13" t="s">
        <v>451</v>
      </c>
      <c r="J45" s="14" t="s">
        <v>233</v>
      </c>
      <c r="K45" s="14" t="s">
        <v>233</v>
      </c>
      <c r="L45" s="15" t="s">
        <v>233</v>
      </c>
      <c r="M45" s="49" t="s">
        <v>233</v>
      </c>
      <c r="N45" s="51" t="s">
        <v>233</v>
      </c>
      <c r="O45" s="51" t="s">
        <v>233</v>
      </c>
      <c r="P45" s="51" t="s">
        <v>233</v>
      </c>
      <c r="Q45" s="51" t="s">
        <v>233</v>
      </c>
      <c r="R45" s="60" t="s">
        <v>233</v>
      </c>
      <c r="S45" s="56"/>
    </row>
    <row r="46" spans="1:21" ht="67.5" x14ac:dyDescent="0.25">
      <c r="A46" s="11" t="s">
        <v>452</v>
      </c>
      <c r="B46" s="13" t="s">
        <v>453</v>
      </c>
      <c r="C46" s="13" t="s">
        <v>454</v>
      </c>
      <c r="D46" s="13" t="s">
        <v>455</v>
      </c>
      <c r="E46" s="13" t="s">
        <v>456</v>
      </c>
      <c r="F46" s="13" t="s">
        <v>457</v>
      </c>
      <c r="G46" s="13" t="s">
        <v>233</v>
      </c>
      <c r="H46" s="13" t="s">
        <v>458</v>
      </c>
      <c r="I46" s="13" t="s">
        <v>459</v>
      </c>
      <c r="J46" s="14" t="s">
        <v>233</v>
      </c>
      <c r="K46" s="14" t="s">
        <v>460</v>
      </c>
      <c r="L46" s="14" t="s">
        <v>461</v>
      </c>
      <c r="M46" s="49" t="s">
        <v>233</v>
      </c>
      <c r="N46" s="51" t="s">
        <v>233</v>
      </c>
      <c r="O46" s="51" t="s">
        <v>233</v>
      </c>
      <c r="P46" s="51" t="s">
        <v>233</v>
      </c>
      <c r="Q46" s="51" t="s">
        <v>233</v>
      </c>
      <c r="R46" s="60" t="s">
        <v>233</v>
      </c>
      <c r="S46" s="56"/>
    </row>
    <row r="47" spans="1:21" ht="27" x14ac:dyDescent="0.25">
      <c r="A47" s="11" t="s">
        <v>462</v>
      </c>
      <c r="B47" s="14" t="s">
        <v>463</v>
      </c>
      <c r="C47" s="14" t="s">
        <v>463</v>
      </c>
      <c r="D47" s="14" t="s">
        <v>64</v>
      </c>
      <c r="E47" s="14" t="s">
        <v>464</v>
      </c>
      <c r="F47" s="14" t="s">
        <v>463</v>
      </c>
      <c r="G47" s="14" t="s">
        <v>233</v>
      </c>
      <c r="H47" s="14" t="s">
        <v>465</v>
      </c>
      <c r="I47" s="13" t="s">
        <v>466</v>
      </c>
      <c r="J47" s="14" t="s">
        <v>465</v>
      </c>
      <c r="K47" s="22" t="s">
        <v>467</v>
      </c>
      <c r="L47" s="14" t="s">
        <v>468</v>
      </c>
      <c r="M47" s="49" t="s">
        <v>233</v>
      </c>
      <c r="N47" s="51" t="s">
        <v>233</v>
      </c>
      <c r="O47" s="51" t="s">
        <v>233</v>
      </c>
      <c r="P47" s="51" t="s">
        <v>233</v>
      </c>
      <c r="Q47" s="51" t="s">
        <v>233</v>
      </c>
      <c r="R47" s="60" t="s">
        <v>233</v>
      </c>
      <c r="S47" s="56"/>
    </row>
    <row r="48" spans="1:21" ht="41.25" customHeight="1" x14ac:dyDescent="0.25">
      <c r="A48" s="11" t="s">
        <v>469</v>
      </c>
      <c r="B48" s="13" t="s">
        <v>470</v>
      </c>
      <c r="C48" s="14" t="s">
        <v>471</v>
      </c>
      <c r="D48" s="13" t="s">
        <v>472</v>
      </c>
      <c r="E48" s="13" t="s">
        <v>473</v>
      </c>
      <c r="F48" s="13" t="s">
        <v>474</v>
      </c>
      <c r="G48" s="13" t="s">
        <v>475</v>
      </c>
      <c r="H48" s="14" t="s">
        <v>476</v>
      </c>
      <c r="I48" s="23" t="s">
        <v>477</v>
      </c>
      <c r="J48" s="13" t="s">
        <v>478</v>
      </c>
      <c r="K48" s="14" t="s">
        <v>233</v>
      </c>
      <c r="L48" s="15" t="s">
        <v>479</v>
      </c>
      <c r="M48" s="49" t="s">
        <v>233</v>
      </c>
      <c r="N48" s="52" t="s">
        <v>480</v>
      </c>
      <c r="O48" s="51" t="s">
        <v>233</v>
      </c>
      <c r="P48" s="51" t="s">
        <v>233</v>
      </c>
      <c r="Q48" s="51" t="s">
        <v>233</v>
      </c>
      <c r="R48" s="60" t="s">
        <v>233</v>
      </c>
      <c r="S48" s="56"/>
    </row>
    <row r="49" spans="1:12" ht="54.75" customHeight="1" x14ac:dyDescent="0.25">
      <c r="A49" s="11" t="s">
        <v>481</v>
      </c>
      <c r="B49" s="13" t="s">
        <v>482</v>
      </c>
      <c r="C49" s="13" t="s">
        <v>483</v>
      </c>
      <c r="D49" s="13" t="s">
        <v>484</v>
      </c>
      <c r="E49" s="13" t="s">
        <v>484</v>
      </c>
      <c r="F49" s="13" t="s">
        <v>484</v>
      </c>
      <c r="G49" s="13" t="s">
        <v>484</v>
      </c>
      <c r="H49" s="13" t="s">
        <v>485</v>
      </c>
      <c r="I49" s="23" t="s">
        <v>484</v>
      </c>
      <c r="J49" s="13"/>
      <c r="K49" s="14"/>
      <c r="L49" s="15"/>
    </row>
    <row r="50" spans="1:12" ht="15" x14ac:dyDescent="0.25">
      <c r="A50" s="11" t="s">
        <v>486</v>
      </c>
      <c r="B50" s="24" t="s">
        <v>174</v>
      </c>
      <c r="C50" s="24" t="s">
        <v>174</v>
      </c>
      <c r="D50" s="24" t="s">
        <v>174</v>
      </c>
      <c r="E50" s="24" t="s">
        <v>174</v>
      </c>
      <c r="F50" s="24" t="s">
        <v>174</v>
      </c>
      <c r="G50" s="24" t="s">
        <v>174</v>
      </c>
      <c r="H50" s="24" t="s">
        <v>174</v>
      </c>
      <c r="I50" s="24" t="s">
        <v>174</v>
      </c>
      <c r="J50" s="24" t="s">
        <v>174</v>
      </c>
      <c r="K50" s="15"/>
      <c r="L50" s="24" t="s">
        <v>174</v>
      </c>
    </row>
    <row r="51" spans="1:12" ht="15" x14ac:dyDescent="0.25">
      <c r="A51" s="11" t="s">
        <v>487</v>
      </c>
      <c r="B51" s="14"/>
      <c r="C51" s="15"/>
      <c r="D51" s="15"/>
      <c r="E51" s="15"/>
      <c r="F51" s="24" t="s">
        <v>174</v>
      </c>
      <c r="G51" s="15"/>
      <c r="H51" s="15"/>
      <c r="I51" s="15"/>
      <c r="J51" s="15"/>
      <c r="K51" s="15"/>
      <c r="L51" s="24" t="s">
        <v>488</v>
      </c>
    </row>
    <row r="54" spans="1:12" x14ac:dyDescent="0.2">
      <c r="A54" s="10"/>
    </row>
  </sheetData>
  <mergeCells count="1">
    <mergeCell ref="A38:A40"/>
  </mergeCells>
  <hyperlinks>
    <hyperlink ref="B50" r:id="rId1" xr:uid="{4A6AFC60-A1A0-4A3F-ABAE-1882B624DB24}"/>
    <hyperlink ref="C50" r:id="rId2" xr:uid="{E349D9B8-96F9-421F-82B1-B3620E769475}"/>
    <hyperlink ref="D50" r:id="rId3" xr:uid="{D07ACF6F-220B-44D6-922D-94E8B668054E}"/>
    <hyperlink ref="E50" r:id="rId4" xr:uid="{C28D376F-6152-4955-A07D-C7F9E248FD70}"/>
    <hyperlink ref="F50" r:id="rId5" xr:uid="{752BB5E9-F7F6-483C-99CD-95EB1791F7B2}"/>
    <hyperlink ref="G50" r:id="rId6" xr:uid="{76497E68-1F44-4F6F-B0C9-9FA9AF36CCA1}"/>
    <hyperlink ref="H50" r:id="rId7" xr:uid="{AF5793D0-1F1C-48F8-A4DC-79BB6AF1116B}"/>
    <hyperlink ref="I50" r:id="rId8" xr:uid="{4F2A6095-51CA-4881-96EA-D274D0BB15C4}"/>
    <hyperlink ref="J50" r:id="rId9" xr:uid="{DEA0D62A-44F6-4954-8DFB-77EF36AB5CC4}"/>
    <hyperlink ref="L50" r:id="rId10" xr:uid="{96DE88AF-D83F-45C5-BC34-82FC7C7F32E9}"/>
    <hyperlink ref="F51" r:id="rId11" xr:uid="{657BA5EE-ACDB-4532-AFDC-0B54C346191E}"/>
    <hyperlink ref="L51" r:id="rId12" xr:uid="{1E273442-951D-4C68-8BF5-2268734E02F5}"/>
    <hyperlink ref="C6" r:id="rId13" xr:uid="{5F4ACB10-B8C7-4CA1-805D-F179BB10DF91}"/>
    <hyperlink ref="C4" r:id="rId14" xr:uid="{AFCB3087-16F5-498B-B09C-9B1D6330063D}"/>
    <hyperlink ref="C3" r:id="rId15" xr:uid="{9734068D-85E3-4A21-B5BE-69542A9FCCD1}"/>
    <hyperlink ref="C5" r:id="rId16" xr:uid="{A239F619-F956-43F6-BCAD-E7B7CB1BD9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Pipeline</vt:lpstr>
      <vt:lpstr>Archetype w managers</vt:lpstr>
      <vt:lpstr>Impact 2.0 Model</vt:lpstr>
      <vt:lpstr>Inc Inno credit funds</vt:lpstr>
      <vt:lpstr>Active Fund - Inclus Innov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Hokanson</dc:creator>
  <cp:keywords/>
  <dc:description/>
  <cp:lastModifiedBy>Alex Hokanson</cp:lastModifiedBy>
  <cp:revision/>
  <dcterms:created xsi:type="dcterms:W3CDTF">2022-11-28T23:27:06Z</dcterms:created>
  <dcterms:modified xsi:type="dcterms:W3CDTF">2025-12-04T15:31:00Z</dcterms:modified>
  <cp:category/>
  <cp:contentStatus/>
</cp:coreProperties>
</file>