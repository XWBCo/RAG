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https://investglobal-my.sharepoint.com/personal/xavier_court_alti-global_com/Documents/Desktop/Personal/Development/Risk &amp; PC App/Qualtrics/"/>
    </mc:Choice>
  </mc:AlternateContent>
  <xr:revisionPtr revIDLastSave="0" documentId="8_{28F9AE6A-A2B0-4BC4-9AAC-13131BE0F331}" xr6:coauthVersionLast="47" xr6:coauthVersionMax="47" xr10:uidLastSave="{00000000-0000-0000-0000-000000000000}"/>
  <bookViews>
    <workbookView xWindow="57480" yWindow="-6510" windowWidth="29040" windowHeight="15720" activeTab="2" xr2:uid="{B992B5C9-4A6B-46D1-8729-A267CF4C281E}"/>
  </bookViews>
  <sheets>
    <sheet name="LIST" sheetId="11" r:id="rId1"/>
    <sheet name="4 models US" sheetId="5" r:id="rId2"/>
    <sheet name="4 models liquid US" sheetId="6" r:id="rId3"/>
    <sheet name="4 models (INT)" sheetId="9" r:id="rId4"/>
    <sheet name="4 models liquid (INT)" sheetId="10" r:id="rId5"/>
  </sheets>
  <externalReferences>
    <externalReference r:id="rId6"/>
  </externalReferences>
  <definedNames>
    <definedName name="_xlnm._FilterDatabase" localSheetId="0" hidden="1">LIST!$A$1:$L$53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M3" i="5"/>
  <c r="Y3" i="5"/>
  <c r="S3" i="5"/>
  <c r="Y7" i="5" l="1"/>
  <c r="Y17" i="10"/>
  <c r="S17" i="10"/>
  <c r="M17" i="10"/>
  <c r="G17" i="10"/>
  <c r="Y18" i="9"/>
  <c r="S18" i="9"/>
  <c r="M18" i="9"/>
  <c r="G18" i="9"/>
  <c r="AA47" i="10"/>
  <c r="Z47" i="10"/>
  <c r="AA46" i="10"/>
  <c r="Z46" i="10"/>
  <c r="X28" i="10"/>
  <c r="W28" i="10"/>
  <c r="U28" i="10"/>
  <c r="T28" i="10"/>
  <c r="R28" i="10"/>
  <c r="Q28" i="10"/>
  <c r="O28" i="10"/>
  <c r="N28" i="10"/>
  <c r="L28" i="10"/>
  <c r="K28" i="10"/>
  <c r="I28" i="10"/>
  <c r="H28" i="10"/>
  <c r="Y9" i="10"/>
  <c r="S9" i="10"/>
  <c r="M9" i="10"/>
  <c r="G9" i="10"/>
  <c r="Y3" i="10"/>
  <c r="S3" i="10"/>
  <c r="M3" i="10"/>
  <c r="G3" i="10"/>
  <c r="X34" i="9"/>
  <c r="W34" i="9"/>
  <c r="U34" i="9"/>
  <c r="T34" i="9"/>
  <c r="R34" i="9"/>
  <c r="Q34" i="9"/>
  <c r="O34" i="9"/>
  <c r="N34" i="9"/>
  <c r="L34" i="9"/>
  <c r="K34" i="9"/>
  <c r="I34" i="9"/>
  <c r="H34" i="9"/>
  <c r="Y26" i="9"/>
  <c r="S26" i="9"/>
  <c r="M26" i="9"/>
  <c r="G26" i="9"/>
  <c r="Y8" i="9"/>
  <c r="S8" i="9"/>
  <c r="M8" i="9"/>
  <c r="G8" i="9"/>
  <c r="Y3" i="9"/>
  <c r="S3" i="9"/>
  <c r="M3" i="9"/>
  <c r="G3" i="9"/>
  <c r="S34" i="9" l="1"/>
  <c r="G34" i="9"/>
  <c r="S28" i="10"/>
  <c r="Y28" i="10"/>
  <c r="M28" i="10"/>
  <c r="G28" i="10"/>
  <c r="Y34" i="9"/>
  <c r="M34" i="9"/>
  <c r="Y26" i="5" l="1"/>
  <c r="S26" i="5"/>
  <c r="M26" i="5"/>
  <c r="G26" i="5"/>
  <c r="AA58" i="6"/>
  <c r="Z58" i="6"/>
  <c r="AC28" i="6"/>
  <c r="X28" i="6"/>
  <c r="W28" i="6"/>
  <c r="U28" i="6"/>
  <c r="T28" i="6"/>
  <c r="R28" i="6"/>
  <c r="Q28" i="6"/>
  <c r="O28" i="6"/>
  <c r="N28" i="6"/>
  <c r="L28" i="6"/>
  <c r="K28" i="6"/>
  <c r="I28" i="6"/>
  <c r="H28" i="6"/>
  <c r="AD16" i="6"/>
  <c r="Y16" i="6"/>
  <c r="S16" i="6"/>
  <c r="M16" i="6"/>
  <c r="G16" i="6"/>
  <c r="AD7" i="6"/>
  <c r="Y7" i="6"/>
  <c r="S7" i="6"/>
  <c r="M7" i="6"/>
  <c r="G7" i="6"/>
  <c r="AD3" i="6"/>
  <c r="Y3" i="6"/>
  <c r="S3" i="6"/>
  <c r="M3" i="6"/>
  <c r="G3" i="6"/>
  <c r="Y57" i="5"/>
  <c r="S57" i="5"/>
  <c r="M57" i="5"/>
  <c r="G57" i="5"/>
  <c r="D57" i="5"/>
  <c r="Y56" i="5"/>
  <c r="S56" i="5"/>
  <c r="M56" i="5"/>
  <c r="G56" i="5"/>
  <c r="D56" i="5"/>
  <c r="Y55" i="5"/>
  <c r="S55" i="5"/>
  <c r="M55" i="5"/>
  <c r="G55" i="5"/>
  <c r="D55" i="5"/>
  <c r="Y54" i="5"/>
  <c r="S54" i="5"/>
  <c r="M54" i="5"/>
  <c r="G54" i="5"/>
  <c r="D54" i="5"/>
  <c r="Y53" i="5"/>
  <c r="S53" i="5"/>
  <c r="M53" i="5"/>
  <c r="G53" i="5"/>
  <c r="D53" i="5"/>
  <c r="Y52" i="5"/>
  <c r="S52" i="5"/>
  <c r="M52" i="5"/>
  <c r="G52" i="5"/>
  <c r="D52" i="5"/>
  <c r="Y51" i="5"/>
  <c r="S51" i="5"/>
  <c r="M51" i="5"/>
  <c r="G51" i="5"/>
  <c r="D51" i="5"/>
  <c r="Y50" i="5"/>
  <c r="S50" i="5"/>
  <c r="M50" i="5"/>
  <c r="G50" i="5"/>
  <c r="D50" i="5"/>
  <c r="Y49" i="5"/>
  <c r="S49" i="5"/>
  <c r="M49" i="5"/>
  <c r="G49" i="5"/>
  <c r="D49" i="5"/>
  <c r="Y48" i="5"/>
  <c r="S48" i="5"/>
  <c r="M48" i="5"/>
  <c r="G48" i="5"/>
  <c r="D48" i="5"/>
  <c r="Y47" i="5"/>
  <c r="S47" i="5"/>
  <c r="M47" i="5"/>
  <c r="G47" i="5"/>
  <c r="D47" i="5"/>
  <c r="Y46" i="5"/>
  <c r="S46" i="5"/>
  <c r="M46" i="5"/>
  <c r="G46" i="5"/>
  <c r="D46" i="5"/>
  <c r="Y45" i="5"/>
  <c r="S45" i="5"/>
  <c r="M45" i="5"/>
  <c r="G45" i="5"/>
  <c r="D45" i="5"/>
  <c r="Y44" i="5"/>
  <c r="S44" i="5"/>
  <c r="M44" i="5"/>
  <c r="G44" i="5"/>
  <c r="D44" i="5"/>
  <c r="U34" i="5"/>
  <c r="T34" i="5"/>
  <c r="R34" i="5"/>
  <c r="Q34" i="5"/>
  <c r="O34" i="5"/>
  <c r="N34" i="5"/>
  <c r="L34" i="5"/>
  <c r="K34" i="5"/>
  <c r="I34" i="5"/>
  <c r="H34" i="5"/>
  <c r="Y16" i="5"/>
  <c r="S16" i="5"/>
  <c r="M16" i="5"/>
  <c r="G16" i="5"/>
  <c r="S7" i="5"/>
  <c r="M7" i="5"/>
  <c r="G7" i="5"/>
  <c r="S34" i="5" l="1"/>
  <c r="M34" i="5"/>
  <c r="G34" i="5"/>
  <c r="Y34" i="5"/>
  <c r="S28" i="6"/>
  <c r="Y28" i="6"/>
  <c r="G28" i="6"/>
  <c r="AD28" i="6"/>
  <c r="M28" i="6"/>
</calcChain>
</file>

<file path=xl/sharedStrings.xml><?xml version="1.0" encoding="utf-8"?>
<sst xmlns="http://schemas.openxmlformats.org/spreadsheetml/2006/main" count="981" uniqueCount="353">
  <si>
    <t>Real Estate</t>
  </si>
  <si>
    <t xml:space="preserve">Integrated Best Ideas </t>
  </si>
  <si>
    <t>Climate Sustainability</t>
  </si>
  <si>
    <t>Inclusive Innovation</t>
  </si>
  <si>
    <t>Impact 1099</t>
  </si>
  <si>
    <t>Impact 100%</t>
  </si>
  <si>
    <t>Stability Assets</t>
  </si>
  <si>
    <t>Cash Equivalent</t>
  </si>
  <si>
    <t>Fidelity Treasury (FRBXX)</t>
  </si>
  <si>
    <t>StoneCastle - FICA For Impact</t>
  </si>
  <si>
    <t>IG Fixed Income</t>
  </si>
  <si>
    <t>PIMCO ESG Muni Or Corp Ladder</t>
  </si>
  <si>
    <t>PIMCO ESG Muni Or Corp Ladder (Climate)</t>
  </si>
  <si>
    <t>PIMCO ESG Muni Or Corp Ladder (Social)</t>
  </si>
  <si>
    <t>Diversified Assets</t>
  </si>
  <si>
    <t>Avanath Renaissance</t>
  </si>
  <si>
    <t>Vistria Affordable Housing</t>
  </si>
  <si>
    <t>Infrastructure</t>
  </si>
  <si>
    <t>Brookfield Infrastructure Income</t>
  </si>
  <si>
    <t>Blackstone Infrastructure Strategies</t>
  </si>
  <si>
    <t>Private Credit</t>
  </si>
  <si>
    <t>CIM Enterprise Loan Fund, L.P.</t>
  </si>
  <si>
    <t>CIM EM Credit Fund</t>
  </si>
  <si>
    <t>Sust. Forestry</t>
  </si>
  <si>
    <t>BTG Timber OEF</t>
  </si>
  <si>
    <t>Growth Assets - Public</t>
  </si>
  <si>
    <t>US Passive</t>
  </si>
  <si>
    <t>Parametric / Aperio ESG Screened</t>
  </si>
  <si>
    <t>Global Active</t>
  </si>
  <si>
    <t>Global Alpha Fund</t>
  </si>
  <si>
    <t>Impact World Equity Fund</t>
  </si>
  <si>
    <t>Janus Global Sustainable Equity (JEIUX)</t>
  </si>
  <si>
    <t>Vanguard ESG Stock Select (VESGX)</t>
  </si>
  <si>
    <t>Thematic</t>
  </si>
  <si>
    <t>iShares Paris Climate USA (PABU)</t>
  </si>
  <si>
    <t>Galvanize Global Equity</t>
  </si>
  <si>
    <t>ReEnvision Wealth SMA</t>
  </si>
  <si>
    <t>Global EM</t>
  </si>
  <si>
    <t>Matthews EM Sustainable Fund (MISFX)</t>
  </si>
  <si>
    <t xml:space="preserve">  </t>
  </si>
  <si>
    <t>Growth Assets - Private</t>
  </si>
  <si>
    <t>Climate Tech VC (DCVC, LCC, EIP)</t>
  </si>
  <si>
    <t>Financial Inclusion &amp; HC (Quona, Apis)</t>
  </si>
  <si>
    <t>Decarbonization PE (Ara, Verdane)</t>
  </si>
  <si>
    <t>Decarbonization PE (Verdane, Vision Ridge)</t>
  </si>
  <si>
    <t>Social Impact Private Equity (Apax, Vistria)</t>
  </si>
  <si>
    <t>Sustainable Real Assets (Alder Point, EFM)</t>
  </si>
  <si>
    <t>Emerging Managers (Enable, Harlem)</t>
  </si>
  <si>
    <t>Private Credit (Generate Strategic Credit)</t>
  </si>
  <si>
    <t>Private Credit (Groundwork)</t>
  </si>
  <si>
    <t>Catalytic Debt (with proceeds taken from IG Fixed Income)</t>
  </si>
  <si>
    <t>California Farmlink or Walden Bank</t>
  </si>
  <si>
    <t>California Farmlink</t>
  </si>
  <si>
    <t>Akiptan or Walden Bank</t>
  </si>
  <si>
    <t>Craft3 or Enterprise Comm Loan Fund</t>
  </si>
  <si>
    <t>Craft3</t>
  </si>
  <si>
    <t>Enterprise Comm Loan Fund or Craft3</t>
  </si>
  <si>
    <t>RCAC or Oweesta</t>
  </si>
  <si>
    <t>Walden Bank</t>
  </si>
  <si>
    <t>Seed Commons or Akiptan</t>
  </si>
  <si>
    <t>Akiptan</t>
  </si>
  <si>
    <t>Seed Commons or California Farmlink</t>
  </si>
  <si>
    <t>ValueAct LP</t>
  </si>
  <si>
    <t>Non US</t>
  </si>
  <si>
    <t>iShares Paris Climate EX-USA (PABD)</t>
  </si>
  <si>
    <t>iShares USD Green Bond ETF (BGRN)</t>
  </si>
  <si>
    <t>Variant Impact Fund</t>
  </si>
  <si>
    <t>Aperio or Xponance</t>
  </si>
  <si>
    <t>Parametric ESG Screened</t>
  </si>
  <si>
    <t>PEP (2.5% per vintage)</t>
  </si>
  <si>
    <t>GIO (2.5% per vintage)</t>
  </si>
  <si>
    <t>GIO (3% per vintage)</t>
  </si>
  <si>
    <t>Cash</t>
  </si>
  <si>
    <t>Wellington Impact Bond</t>
  </si>
  <si>
    <t>iShares Global Aggregate Bond ESG ETF</t>
  </si>
  <si>
    <t>Patrizia*</t>
  </si>
  <si>
    <t>Schroders Greencoat</t>
  </si>
  <si>
    <t>Brookfield</t>
  </si>
  <si>
    <t>BlueEarth</t>
  </si>
  <si>
    <t>Global Equities</t>
  </si>
  <si>
    <t>Wellington Global Stewards</t>
  </si>
  <si>
    <t>Stewart Inc. Global EM Sust</t>
  </si>
  <si>
    <t>Global Thematic Equity</t>
  </si>
  <si>
    <t>Greenbacker GREC-2 (replacement)</t>
  </si>
  <si>
    <t>Public Credit</t>
  </si>
  <si>
    <t>RobecoSAM SDG Credit</t>
  </si>
  <si>
    <t>Global Passive</t>
  </si>
  <si>
    <t>Janus Global Sustainable</t>
  </si>
  <si>
    <t>iShares MSCI World Screened UCITS ETF</t>
  </si>
  <si>
    <t>iShares S&amp;P 500 Paris-Aligned Climate UCITS ETF</t>
  </si>
  <si>
    <t>Pacific North of South</t>
  </si>
  <si>
    <t>Pinnacle / Life Cycle</t>
  </si>
  <si>
    <t>AlTi Alianz Private Credit</t>
  </si>
  <si>
    <t>Social Impact Private Equity (Aristata, Vistria)</t>
  </si>
  <si>
    <t>TBD - Corbin Elevation Fund or Variant</t>
  </si>
  <si>
    <t>TBD - Nia Impact Solutions Fund</t>
  </si>
  <si>
    <t>Galvanize Global Equity LP</t>
  </si>
  <si>
    <t>Private Credit (Groundwork, Founders First)</t>
  </si>
  <si>
    <t>Sustainable Real Assets (Alder Point, EFM, GSC)</t>
  </si>
  <si>
    <t>Seed Commons</t>
  </si>
  <si>
    <t>Oweesta</t>
  </si>
  <si>
    <t>STABILITY</t>
  </si>
  <si>
    <t>DIVERSIFIED</t>
  </si>
  <si>
    <t>GROWTH</t>
  </si>
  <si>
    <t>NAME</t>
  </si>
  <si>
    <t>RISK ALLOCATION</t>
  </si>
  <si>
    <t>DCVC Climate</t>
  </si>
  <si>
    <t>EIP Flagship</t>
  </si>
  <si>
    <t>EIP Frontier</t>
  </si>
  <si>
    <t>Ara Partners</t>
  </si>
  <si>
    <t>Ambienta</t>
  </si>
  <si>
    <t>Alder Point</t>
  </si>
  <si>
    <t>Enable Ventures</t>
  </si>
  <si>
    <t>Harlem Capital</t>
  </si>
  <si>
    <t>Impact America Fund</t>
  </si>
  <si>
    <t>Global Sustainable Equity (Generation)</t>
  </si>
  <si>
    <t>Lowercarbon Q&gt;10</t>
  </si>
  <si>
    <t>Lowercarbon Opportunity</t>
  </si>
  <si>
    <t>K1</t>
  </si>
  <si>
    <t>DESCRIPTION</t>
  </si>
  <si>
    <t>Parametric ESG Screened SMA</t>
  </si>
  <si>
    <t xml:space="preserve">Verdane Idun </t>
  </si>
  <si>
    <t>Ecotrust Forest Management (EFM)</t>
  </si>
  <si>
    <t>Vision Ridge Sustainable Asset Fund</t>
  </si>
  <si>
    <t>Quona / Accion</t>
  </si>
  <si>
    <t>Apis Fund III</t>
  </si>
  <si>
    <t>Aristata Litigation Finance</t>
  </si>
  <si>
    <t>Vistria Private Equity</t>
  </si>
  <si>
    <t>Corbin Elevation Fund</t>
  </si>
  <si>
    <t>Avanath Renaissance Housing</t>
  </si>
  <si>
    <t>An institutional U.S. Treasury money market fund investing in near-cash government securities and repurchase agreements, designed to preserve capital and liquidity. It offers minimal risk and yield, maintaining principal stability while providing daily liquidity for short-term cash management needs.</t>
  </si>
  <si>
    <t>Mutual Fund</t>
  </si>
  <si>
    <t>Cash / Short Duration Fixed Income</t>
  </si>
  <si>
    <t>U.S.</t>
  </si>
  <si>
    <t>Money market yield (~2-4%)</t>
  </si>
  <si>
    <t>Daily liquidity</t>
  </si>
  <si>
    <t>Cash management / Low-carbon treasury</t>
  </si>
  <si>
    <t>SMA</t>
  </si>
  <si>
    <t>Fixed Income</t>
  </si>
  <si>
    <t>Stable income, tax-advantaged, low volatility (~3-5%)</t>
  </si>
  <si>
    <t>Sustainable fixed income</t>
  </si>
  <si>
    <t>A passively managed ETF tracking an index of USD-denominated investment-grade green bonds. It provides fixed-income exposure to environmentally focused debt instruments with credit quality similar to broad IG bonds and moderate interest rate risk, aligning bond portfolios with climate finance goals.</t>
  </si>
  <si>
    <t>ETF</t>
  </si>
  <si>
    <t>Investment grade bond-like returns (~3-5%)</t>
  </si>
  <si>
    <t>Climate finance (green bonds)</t>
  </si>
  <si>
    <t>An evergreen core-plus real estate fund acquiring and preserving multifamily affordable housing properties across the U.S., with the capacity to rehabilitate and expand existing assets. The strategy delivers steady income and moderate appreciation by operating subsidized and workforce housing, targeting stable returns with low volatility.</t>
  </si>
  <si>
    <t>Private Real Estate Fund</t>
  </si>
  <si>
    <t>Real Assets / Housing</t>
  </si>
  <si>
    <t>Core-plus real estate, stable income + appreciation (~6-8%)</t>
  </si>
  <si>
    <t>Affordable housing</t>
  </si>
  <si>
    <t>A semi-liquid infrastructure fund offering diversified exposure to high-quality infrastructure equity and debt investments. It focuses on essential assets that generate long-term, inflation-linked cash flows, aiming for stable income and strong risk-adjusted returns.</t>
  </si>
  <si>
    <t>Private Infrastructure Fund</t>
  </si>
  <si>
    <t>Infrastructure Equity &amp; Debt</t>
  </si>
  <si>
    <t>Global</t>
  </si>
  <si>
    <t>Stable income, inflation-linked, infrastructure yields (~8-10%)</t>
  </si>
  <si>
    <t>Infrastructure / Energy transition</t>
  </si>
  <si>
    <t>Blackstone’s Core+ infrastructure strategy investing in large-scale, long-lived infrastructure assets primarily in North America. It employs a long-term buy-and-hold approach to deliver stable cash yield and capital appreciation, leveraging Blackstone’s operational expertise to enhance value.</t>
  </si>
  <si>
    <t>Infrastructure Equity</t>
  </si>
  <si>
    <t>An open-ended core timberland fund investing in U.S. commercial timberland assets with a focus on sustainable forestry practices. It targets ~7–8% net IRR over the long term, providing low-correlation, inflation-hedged returns from biological timber growth and land appreciation.</t>
  </si>
  <si>
    <t>Private Timberland Fund</t>
  </si>
  <si>
    <t>Timberland / Real Assets</t>
  </si>
  <si>
    <t>Timberland returns (~7-8% IRR, inflation-hedged)</t>
  </si>
  <si>
    <t>Sustainable forestry / Carbon sequestration</t>
  </si>
  <si>
    <t>An open-end affordable housing private fund deploying institutional capital to acquire, preserve, and develop affordable and workforce housing at scale. It raises permanent capital to tap into resilient, income-producing housing assets, targeting market-rate returns while expanding access to affordable homes.</t>
  </si>
  <si>
    <t>Affordable housing, income + appreciation (~6-8%)</t>
  </si>
  <si>
    <t>Evergreen, semi-liquid (quarterly)</t>
  </si>
  <si>
    <t>A private sustainable infrastructure vehicle investing in a diversified portfolio of renewable energy assets across the U.S., structured as an independent power producer. It owns and operates clean energy projects that generate stable, long-term income from power purchase agreements.</t>
  </si>
  <si>
    <t>Renewable Energy Infrastructure</t>
  </si>
  <si>
    <t>Renewable energy infra, long-term cash flows (~6-9%)</t>
  </si>
  <si>
    <t>Renewable energy / Energy transition</t>
  </si>
  <si>
    <t>A private impact debt fund providing strategic capital to technology-enabled lenders serving small businesses and underserved individuals. It creates a diversified portfolio of loans to inclusive fintech and alternative credit platforms, delivering steady, uncorrelated returns while supporting economic empowerment.</t>
  </si>
  <si>
    <t>Private Credit Fund</t>
  </si>
  <si>
    <t>Private credit, steady yield (~6-8%)</t>
  </si>
  <si>
    <t>Financial inclusion / SME lending</t>
  </si>
  <si>
    <t>A private emerging-markets credit strategy extending debt financing to responsible fintech lenders and microfinance institutions in developing economies. It aims to generate market-rate returns by financing creditworthy but underserved borrowers across multiple countries.</t>
  </si>
  <si>
    <t>Emerging Market Credit</t>
  </si>
  <si>
    <t>Emerging Markets</t>
  </si>
  <si>
    <t>Emerging markets credit, uncorrelated yield (~8-12%)</t>
  </si>
  <si>
    <t>Financial inclusion / Emerging markets</t>
  </si>
  <si>
    <t>Diversified hedge/credit, uncorrelated returns (~6-10%)</t>
  </si>
  <si>
    <t>ESG integration / DEI</t>
  </si>
  <si>
    <t>A continuously offered interval fund providing efficient access to a diversified portfolio of unconventional, income-generating assets aligned with the UN Sustainable Development Goals. It invests in niche private credit and real assets with strong cash flows and low correlation to public markets.</t>
  </si>
  <si>
    <t>Private Credit / Real Assets</t>
  </si>
  <si>
    <t>High current income, low correlation (~8-10%)</t>
  </si>
  <si>
    <t>Multi-theme / SDGs</t>
  </si>
  <si>
    <t>A separately managed account strategy implementing a rules-based equity portfolio with customized ESG screens. Parametric constructs a broad market index replication and excludes or underweights companies that fail the client’s ESG criteria, maintaining similar sector exposures and risk/return profile.</t>
  </si>
  <si>
    <t>Equities</t>
  </si>
  <si>
    <t>Index-like returns, low tracking error</t>
  </si>
  <si>
    <t>ESG integration / Custom values alignment</t>
  </si>
  <si>
    <t>A global equity strategy managed by Generation Investment Management, holding a concentrated, high-conviction portfolio of public companies selected for superior sustainability performance. It integrates ESG analysis into fundamental research to outperform global benchmarks over a long horizon.</t>
  </si>
  <si>
    <t>Long-term equity outperformance vs benchmark (~8-12%)</t>
  </si>
  <si>
    <t>Sustainability leaders / ESG integration</t>
  </si>
  <si>
    <t>A global public equities fund pursuing active alpha generation across developed and emerging markets. It maintains a diversified portfolio of high-quality companies and uses fundamental research and active risk management to seek excess returns over benchmarks.</t>
  </si>
  <si>
    <t>Public equity alpha (~8-12%)</t>
  </si>
  <si>
    <t>General equity (ESG optional)</t>
  </si>
  <si>
    <t>An actively managed global equity mutual fund investing in companies that contribute to a more sustainable global economy. It builds a diversified portfolio across sectors and regions, aiming for long-term capital growth with competitive returns relative to global indices.</t>
  </si>
  <si>
    <t>Sustainability leaders</t>
  </si>
  <si>
    <t>An actively managed global ESG equity fund holding ~35–45 stocks of industry-leading companies with strong sustainable business practices. It aims to maximize long-term returns while significantly overweighting sustainability leaders.</t>
  </si>
  <si>
    <t>A passive ETF tracking the MSCI USA Climate Paris-Aligned Benchmark, composed of U.S. large- and mid-cap stocks optimized for alignment with Paris Agreement climate goals. It provides broad U.S. equity exposure with a significantly reduced carbon footprint.</t>
  </si>
  <si>
    <t>U.S. Equities (Climate)</t>
  </si>
  <si>
    <t>Equity-like returns, Paris-aligned (~7-10%)</t>
  </si>
  <si>
    <t>Climate / Decarbonization (Paris aligned)</t>
  </si>
  <si>
    <t>A passive ETF tracking the MSCI World ex USA Climate Paris-Aligned Benchmark, covering developed market equities outside the U.S. optimized for Paris Agreement alignment. It offers international equity exposure while tilting toward climate leaders and away from carbon-intensive firms.</t>
  </si>
  <si>
    <t>International Equities (Climate)</t>
  </si>
  <si>
    <t>International (ex-U.S.)</t>
  </si>
  <si>
    <t>A concentrated activist equity strategy acquiring significant minority stakes in undervalued public companies and engaging collaboratively with management and boards. It aims for private-equity-like returns in public markets by catalyzing operational and ESG improvements.</t>
  </si>
  <si>
    <t>Public Equities (Activist)</t>
  </si>
  <si>
    <t>Private-equity-like returns in public markets (~10-15%)</t>
  </si>
  <si>
    <t>Shareholder engagement / Governance</t>
  </si>
  <si>
    <t>A global public equities fund that invests in businesses positioned to lead and benefit from the climate transition. It employs a high-conviction, long-only approach integrating deep fundamental and impact analysis.</t>
  </si>
  <si>
    <t>Global Equities (Climate)</t>
  </si>
  <si>
    <t>Public equity outperformance (~8-12%)</t>
  </si>
  <si>
    <t>Climate solutions</t>
  </si>
  <si>
    <t>An emerging markets equity fund that invests in companies addressing sustainability challenges in developing economies. It focuses on sectors like clean energy, sustainable agriculture, healthcare, and education.</t>
  </si>
  <si>
    <t>Emerging Market Equities</t>
  </si>
  <si>
    <t>EM equity growth (~9-12%)</t>
  </si>
  <si>
    <t>Sustainable development / Emerging markets</t>
  </si>
  <si>
    <t>A prospective impact investment fund targeting a diversified portfolio of public equities solving global sustainability challenges. Expected to invest across clean energy, sustainable agriculture, and equal opportunity themes.</t>
  </si>
  <si>
    <t>Planned public equity-like returns (~8-12%)</t>
  </si>
  <si>
    <t>Climate &amp; social solutions (planned)</t>
  </si>
  <si>
    <t>A bespoke ESG-focused separately managed account tailored to an institution’s specific impact goals. It integrates ESG criteria into portfolio construction while maintaining benchmark-like risk/return characteristics.</t>
  </si>
  <si>
    <t>Custom Multi-Asset / Equities</t>
  </si>
  <si>
    <t>Custom benchmark-like returns</t>
  </si>
  <si>
    <t>Custom ESG / Values alignment</t>
  </si>
  <si>
    <t>A community development loan fund that provides affordable financing to beginning and underserved farmers and ranchers in California. Investments offer stable, modest returns while supporting local food systems and farmland conservation.</t>
  </si>
  <si>
    <t>CDFI Loan Fund</t>
  </si>
  <si>
    <t>Community Development / Ag Lending</t>
  </si>
  <si>
    <t>Stable modest returns (~2-4%)</t>
  </si>
  <si>
    <t>Notes, 5–30 year terms, illiquid until maturity</t>
  </si>
  <si>
    <t>Sustainable agriculture / Food systems</t>
  </si>
  <si>
    <t>A regional nonprofit CDFI serving the Pacific Northwest, funding loans for small businesses, clean energy, affordable housing, and environmental projects. Investors can purchase Community Impact Investment Notes with modest fixed returns.</t>
  </si>
  <si>
    <t>Community Development / Credit</t>
  </si>
  <si>
    <t>U.S. (Pacific Northwest)</t>
  </si>
  <si>
    <t>Stable modest returns (~2-3%)</t>
  </si>
  <si>
    <t>Notes, 5–10 year terms, illiquid until maturity</t>
  </si>
  <si>
    <t>Community development / Small business</t>
  </si>
  <si>
    <t>A Native American CDFI that provides flexible loans and technical assistance to Indigenous farmers, ranchers, and agricultural enterprises. It supports projects enhancing food sovereignty, land stewardship, and economic self-sufficiency.</t>
  </si>
  <si>
    <t>Native American Communities (U.S.)</t>
  </si>
  <si>
    <t>Native community agriculture / Food sovereignty</t>
  </si>
  <si>
    <t>Enterprise Loan Fund</t>
  </si>
  <si>
    <t>A national CDFI loan fund that finances affordable housing, community health clinics, education facilities, and other community development projects. Investors receive fixed annual interest while capital is deployed as short-term project loans.</t>
  </si>
  <si>
    <t>Community Development / Affordable Housing</t>
  </si>
  <si>
    <t>Affordable housing / Community development</t>
  </si>
  <si>
    <t>A cooperatively governed national loan fund network providing non-extractive financing to worker cooperatives and community-owned businesses. It pools capital and redistributes it through local loan funds to empower worker co-ops.</t>
  </si>
  <si>
    <t>Worker Cooperative Lending</t>
  </si>
  <si>
    <t>Stable modest returns (~1-3%)</t>
  </si>
  <si>
    <t>Worker cooperatives / Inclusive economy</t>
  </si>
  <si>
    <t>A Native CDFI intermediary that provides capital and capacity-building to Native American community lenders and economic development projects. It issues Community Investment Notes paying modest interest while lending to Native CDFIs and tribal projects.</t>
  </si>
  <si>
    <t>Stable modest returns (~3-4%)</t>
  </si>
  <si>
    <t>Native communities / Financial inclusion</t>
  </si>
  <si>
    <t>A venture capital fund dedicated to climate technology, focusing on deep-tech solutions that slash greenhouse gas emissions or bolster climate resilience. It invests in early to growth-stage companies across energy, transportation, agriculture, and industrial sectors.</t>
  </si>
  <si>
    <t>Venture Capital (Climate Tech)</t>
  </si>
  <si>
    <t>Venture-style returns (~20%+ IRR)</t>
  </si>
  <si>
    <t>Climate tech / Deep decarbonization</t>
  </si>
  <si>
    <t>A climate-tech opportunity fund making follow-on and later-stage investments in high-performing climate solution companies. It deploys capital into more mature ventures in areas like renewable energy and carbon removal.</t>
  </si>
  <si>
    <t>Later-stage venture returns (~15-20% IRR)</t>
  </si>
  <si>
    <t>Climate tech / Growth equity</t>
  </si>
  <si>
    <t>A long-horizon climate fund focused specifically on breakthrough technologies, notably fusion energy, that may require a decade or more to reach commercial fruition. It provides patient capital to frontier climate solutions.</t>
  </si>
  <si>
    <t>Venture Capital (Frontier Tech)</t>
  </si>
  <si>
    <t>Long-horizon venture returns (moonshot, 20%+ potential)</t>
  </si>
  <si>
    <t>Climate moonshots (fusion, frontier tech)</t>
  </si>
  <si>
    <t>A main fund strategy investing in inflection- and growth-stage companies across the clean energy value chain. It provides expansion capital aiming for mid-teen IRRs by scaling up businesses that help decarbonize the energy and transportation sectors.</t>
  </si>
  <si>
    <t>Growth Equity (Climate Solutions)</t>
  </si>
  <si>
    <t>Growth equity returns (~15% IRR)</t>
  </si>
  <si>
    <t>Energy transition / Grid modernization</t>
  </si>
  <si>
    <t>An early-stage venture fund investing in revolutionary climate technologies at the pre-seed to Series A stage. It targets breakthrough innovations that could enable deep decarbonization and embraces higher technology risk.</t>
  </si>
  <si>
    <t>Venture Capital (Climate Solutions)</t>
  </si>
  <si>
    <t>Climate tech / Early-stage innovation</t>
  </si>
  <si>
    <t>A private equity firm specializing in industrial decarbonization, acquiring mid-market companies and transforming their operations to be low-carbon. It targets private-equity-level returns while achieving significant CO₂ reductions.</t>
  </si>
  <si>
    <t>Private Equity (Industrial Decarbonization)</t>
  </si>
  <si>
    <t>Private equity returns (~20%+ IRR)</t>
  </si>
  <si>
    <t>Industrial decarbonization</t>
  </si>
  <si>
    <t>A European mid-market private equity strategy entirely driven by environmental sustainability themes. It invests in niche SMEs improving resource efficiency or pollution control, leveraging environmental megatrends.</t>
  </si>
  <si>
    <t>Private Equity (Sustainability)</t>
  </si>
  <si>
    <t>Europe</t>
  </si>
  <si>
    <t>Private equity returns (~15-20% IRR)</t>
  </si>
  <si>
    <t>Resource efficiency / Pollution control</t>
  </si>
  <si>
    <t>A growth equity fund focusing on technology-enabled businesses delivering positive environmental or social impact. It invests in high-growth companies in sectors such as digital health, green consumer products, and educational technology.</t>
  </si>
  <si>
    <t>Growth Equity (Impact Tech)</t>
  </si>
  <si>
    <t>Growth equity returns (~15%+ IRR)</t>
  </si>
  <si>
    <t>Social impact / Health, education, circular economy</t>
  </si>
  <si>
    <t>A sustainable real assets investment strategy focused on U.S. farmland and timberland. It acquires and actively manages agricultural and forest lands in climate-resilient regions, implementing regenerative practices.</t>
  </si>
  <si>
    <t>Real Assets (Farmland, Timberland)</t>
  </si>
  <si>
    <t>Real asset yields + appreciation (~8-10%)</t>
  </si>
  <si>
    <t>Sustainable land management (farmland, timber)</t>
  </si>
  <si>
    <t>A real asset manager investing in working forests with an emphasis on ecological stewardship and community benefit. Its funds generate returns from sustainable timber harvests, carbon credits, and conservation projects.</t>
  </si>
  <si>
    <t>Timber/forest returns (~6-8% IRR + carbon upside)</t>
  </si>
  <si>
    <t>Sustainable forestry / Climate resilience</t>
  </si>
  <si>
    <t>A private fund series investing in sustainable real assets to capitalize on the global transition to sustainability. It targets assets across energy, transportation, agriculture, and waste-to-value facilities.</t>
  </si>
  <si>
    <t>Sustainable Infrastructure / Real Assets</t>
  </si>
  <si>
    <t>Private equity-like real asset returns (~10-15% IRR)</t>
  </si>
  <si>
    <t>Sustainable infrastructure / Resource efficiency</t>
  </si>
  <si>
    <t>A venture capital strategy investing in inclusive fintech startups in emerging markets. It provides capital to companies expanding access to financial services such as digital payments and SME lending platforms.</t>
  </si>
  <si>
    <t>Venture Capital (Inclusive Fintech)</t>
  </si>
  <si>
    <t>Financial inclusion / Fintech (EM)</t>
  </si>
  <si>
    <t>A private equity growth fund focusing on the financial services and fintech sector in Africa and South Asia. It invests in banks, payment processors, insurance providers, and fintech platforms tapping into digital finance growth.</t>
  </si>
  <si>
    <t>Private Equity (Fintech EM)</t>
  </si>
  <si>
    <t>Growth equity EM returns (~20% IRR)</t>
  </si>
  <si>
    <t>Financial inclusion / Fintech (Africa, South Asia)</t>
  </si>
  <si>
    <t>An alternative investment fund specializing in impact-oriented litigation finance. It funds lawsuits with potential to generate positive societal outcomes while yielding financial returns from legal settlements or judgments.</t>
  </si>
  <si>
    <t>Litigation Finance / Alternatives</t>
  </si>
  <si>
    <t>Litigation finance, mid-teens (~12-18%)</t>
  </si>
  <si>
    <t>Access to justice / Social equity</t>
  </si>
  <si>
    <t>The flagship private equity funds of The Vistria Group, executing middle-market buyouts in healthcare, education, and financial services sectors. It seeks alpha by improving and scaling mission-driven companies delivering essential services.</t>
  </si>
  <si>
    <t>Private Equity (Healthcare, Education, Finance)</t>
  </si>
  <si>
    <t>Private equity returns (~20% IRR)</t>
  </si>
  <si>
    <t>Essential services / Healthcare, education, finance</t>
  </si>
  <si>
    <t>A venture capital fund investing in early-stage companies that advance economic inclusion and opportunity for people with disabilities. It targets startups developing assistive technologies and inclusive platforms.</t>
  </si>
  <si>
    <t>Venture Capital (Disability Inclusion)</t>
  </si>
  <si>
    <t>Disability inclusion / Assistive technology</t>
  </si>
  <si>
    <t>An early-stage venture capital firm investing in startups founded by women and minority entrepreneurs in the United States. It focuses on Seed and Series A rounds across multiple industries.</t>
  </si>
  <si>
    <t>Venture Capital (Diverse Founders)</t>
  </si>
  <si>
    <t>Diversity &amp; equity / Underrepresented founders</t>
  </si>
  <si>
    <t>A venture capital fund backing mission-driven entrepreneurs building technology and services to uplift economically marginalized communities in America. It invests in early-stage companies across fintech, digital health, and future of work platforms.</t>
  </si>
  <si>
    <t>Venture Capital (Impact Tech)</t>
  </si>
  <si>
    <t>Community empowerment / Diverse entrepreneurs</t>
  </si>
  <si>
    <t xml:space="preserve">TAX </t>
  </si>
  <si>
    <t>STRUCTURE</t>
  </si>
  <si>
    <t>ASSET CLASS</t>
  </si>
  <si>
    <t>GEOGRAPHY</t>
  </si>
  <si>
    <t>LIQUIDITY</t>
  </si>
  <si>
    <t>IMPACT THEME</t>
  </si>
  <si>
    <t>Public Equity Limited Partnership</t>
  </si>
  <si>
    <t>RETURN TARGET</t>
  </si>
  <si>
    <t>Nia Impact Solutions Fund (NIAGX)</t>
  </si>
  <si>
    <t>Closed-end GP/LP fund (10+ year lockup)</t>
  </si>
  <si>
    <t>Monthly liquidity</t>
  </si>
  <si>
    <t>Evergreen, semi-liquid (monthly)</t>
  </si>
  <si>
    <t>Focus on lending to companies or individuals whose business models are tied to measurable social and/or environmental positive outcomes. Diversified portfolio across themes: Energy Transition, Community Infrastructure, Economic Empowerment, Health. Investing in megatrends with potential to deliver differentiated alpha over the longer-term</t>
  </si>
  <si>
    <t>Core+ infrastructure, stable cash yield + appreciation (~10-12%)</t>
  </si>
  <si>
    <t>Global Equities (Social)</t>
  </si>
  <si>
    <t>PIMCO ESG Muni Ladder</t>
  </si>
  <si>
    <t>PIMCO ESG Corporate Ladder</t>
  </si>
  <si>
    <t>Fixed Income - Municipal</t>
  </si>
  <si>
    <t>Fixed Income - Corporate</t>
  </si>
  <si>
    <t>Stable income, low volatility (~3-5%)</t>
  </si>
  <si>
    <t>A custom laddered fixed-income portfolio managed by PIMCO, investing in high-quality ESG-screened municipal bonds to generate stable, tax-advantaged income. The laddered maturity structure staggers bond maturities to preserve capital and manage interest rate risk, offering low volatility and reliable cash flows for institutional investors.</t>
  </si>
  <si>
    <t>A custom laddered fixed-income portfolio managed by PIMCO, investing in high-quality ESG-screened corporate bonds to generate stable income. The laddered maturity structure staggers bond maturities to preserve capital and manage interest rate risk, offering low volatility and reliable cash flows for institutional investors.</t>
  </si>
  <si>
    <t>ROLE</t>
  </si>
  <si>
    <t>Target</t>
  </si>
  <si>
    <t>Catalytic</t>
  </si>
  <si>
    <t>SIZING</t>
  </si>
  <si>
    <t>1-2%</t>
  </si>
  <si>
    <t>Aperio ESG Screened SMA</t>
  </si>
  <si>
    <t>Xponance ESG Screened SMA</t>
  </si>
  <si>
    <t>A separately managed account strategy implementing a rules-based equity portfolio with customized ESG screens. Aperio constructs a broad market index replication and excludes or underweights companies that fail the client’s ESG criteria, maintaining similar sector exposures and risk/return profile.</t>
  </si>
  <si>
    <t>A separately managed account strategy implementing a rules-based equity portfolio with customized ESG screens. Xponance constructs a broad market index replication and excludes or underweights companies that fail the client’s ESG criteria, maintaining similar sector exposures and risk/return profile.</t>
  </si>
  <si>
    <t>10-40%</t>
  </si>
  <si>
    <t>5-15%</t>
  </si>
  <si>
    <t>3-6%</t>
  </si>
  <si>
    <t>Notes, 3–10 year terms, illiquid until maturity</t>
  </si>
  <si>
    <t>Greenbacker GREC-2 (needs replacement)</t>
  </si>
  <si>
    <t>Drawdown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</si>
</sst>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35" x14ac:knownFonts="1">
    <font>
      <sz val="11"/>
      <color theme="1"/>
      <name val="Arial Nova Light"/>
      <family val="2"/>
      <scheme val="minor"/>
    </font>
    <font>
      <sz val="11"/>
      <color theme="1"/>
      <name val="Arial Nova Light"/>
      <family val="2"/>
      <scheme val="minor"/>
    </font>
    <font>
      <sz val="10"/>
      <name val="Arial"/>
      <family val="2"/>
    </font>
    <font>
      <sz val="8"/>
      <name val="Arial Nova Light"/>
      <family val="2"/>
      <scheme val="minor"/>
    </font>
    <font>
      <sz val="8"/>
      <color theme="1"/>
      <name val="Arial Nova Light"/>
      <family val="2"/>
      <scheme val="minor"/>
    </font>
    <font>
      <b/>
      <sz val="10"/>
      <color theme="1"/>
      <name val="Arial Nova Light"/>
      <family val="2"/>
      <scheme val="minor"/>
    </font>
    <font>
      <sz val="10"/>
      <color theme="1"/>
      <name val="Arial Nova Light"/>
      <family val="2"/>
      <scheme val="minor"/>
    </font>
    <font>
      <b/>
      <sz val="12"/>
      <color theme="6" tint="-0.249977111117893"/>
      <name val="Arial Nova Light"/>
      <family val="2"/>
      <scheme val="minor"/>
    </font>
    <font>
      <sz val="12"/>
      <color theme="1"/>
      <name val="Arial Nova Light"/>
      <family val="2"/>
      <scheme val="minor"/>
    </font>
    <font>
      <b/>
      <sz val="12"/>
      <color theme="5"/>
      <name val="Arial Nova Light"/>
      <family val="2"/>
      <scheme val="minor"/>
    </font>
    <font>
      <b/>
      <sz val="12"/>
      <color theme="6"/>
      <name val="Arial Nova Light"/>
      <family val="2"/>
      <scheme val="minor"/>
    </font>
    <font>
      <b/>
      <sz val="12"/>
      <color theme="4" tint="-0.249977111117893"/>
      <name val="Arial Nova Light"/>
      <family val="2"/>
      <scheme val="minor"/>
    </font>
    <font>
      <b/>
      <sz val="12"/>
      <color theme="8"/>
      <name val="Arial Nova Light"/>
      <family val="2"/>
      <scheme val="minor"/>
    </font>
    <font>
      <b/>
      <sz val="10"/>
      <name val="Arial Nova Light"/>
      <family val="2"/>
      <scheme val="minor"/>
    </font>
    <font>
      <sz val="10"/>
      <name val="Arial Nova Light"/>
      <family val="2"/>
      <scheme val="minor"/>
    </font>
    <font>
      <sz val="10"/>
      <color theme="4"/>
      <name val="Arial Nova Light"/>
      <family val="2"/>
      <scheme val="minor"/>
    </font>
    <font>
      <b/>
      <sz val="10"/>
      <color theme="0"/>
      <name val="Arial Nova Light"/>
      <family val="2"/>
      <scheme val="minor"/>
    </font>
    <font>
      <sz val="10"/>
      <color theme="0"/>
      <name val="Arial Nova Light"/>
      <family val="2"/>
      <scheme val="minor"/>
    </font>
    <font>
      <sz val="10"/>
      <color theme="1"/>
      <name val="Arial Nova Light"/>
      <family val="2"/>
    </font>
    <font>
      <sz val="10"/>
      <name val="Arial Nova Light"/>
      <family val="2"/>
    </font>
    <font>
      <b/>
      <sz val="10"/>
      <color rgb="FFC00000"/>
      <name val="Arial Nova Light"/>
      <family val="2"/>
      <scheme val="minor"/>
    </font>
    <font>
      <sz val="11"/>
      <color rgb="FF333333"/>
      <name val="Arial"/>
      <family val="2"/>
    </font>
    <font>
      <sz val="11"/>
      <name val="Arial Nova Light"/>
      <family val="2"/>
      <scheme val="minor"/>
    </font>
    <font>
      <b/>
      <sz val="10"/>
      <color theme="5"/>
      <name val="Arial Nova Light"/>
      <family val="2"/>
      <scheme val="minor"/>
    </font>
    <font>
      <b/>
      <sz val="10"/>
      <color theme="5"/>
      <name val="Arial Nova Light"/>
      <family val="2"/>
    </font>
    <font>
      <b/>
      <sz val="10"/>
      <color theme="6" tint="-0.249977111117893"/>
      <name val="Arial Nova Light"/>
      <family val="2"/>
      <scheme val="minor"/>
    </font>
    <font>
      <b/>
      <sz val="10"/>
      <color theme="6"/>
      <name val="Arial Nova Light"/>
      <family val="2"/>
      <scheme val="minor"/>
    </font>
    <font>
      <b/>
      <sz val="10"/>
      <color theme="4" tint="-0.249977111117893"/>
      <name val="Arial Nova Light"/>
      <family val="2"/>
      <scheme val="minor"/>
    </font>
    <font>
      <b/>
      <sz val="10"/>
      <color theme="8"/>
      <name val="Arial Nova Light"/>
      <family val="2"/>
      <scheme val="minor"/>
    </font>
    <font>
      <sz val="10"/>
      <color rgb="FF333333"/>
      <name val="Arial"/>
      <family val="2"/>
    </font>
    <font>
      <b/>
      <sz val="10"/>
      <color theme="9"/>
      <name val="Arial Nova Light"/>
      <family val="2"/>
      <scheme val="minor"/>
    </font>
    <font>
      <b/>
      <sz val="10"/>
      <color theme="6" tint="-0.499984740745262"/>
      <name val="Arial Nova Light"/>
      <family val="2"/>
      <scheme val="minor"/>
    </font>
    <font>
      <b/>
      <sz val="10"/>
      <color theme="5" tint="-0.249977111117893"/>
      <name val="Arial Nova Light"/>
      <family val="2"/>
      <scheme val="minor"/>
    </font>
    <font>
      <b/>
      <sz val="10"/>
      <color rgb="FFFF0000"/>
      <name val="Arial Nova Light"/>
      <family val="2"/>
      <scheme val="minor"/>
    </font>
    <font>
      <b/>
      <sz val="8"/>
      <color theme="1"/>
      <name val="Arial Nova Light"/>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theme="8"/>
        <bgColor indexed="64"/>
      </patternFill>
    </fill>
    <fill>
      <patternFill patternType="solid">
        <fgColor theme="6"/>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9"/>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1">
    <xf numFmtId="0" fontId="0" fillId="0" borderId="0"/>
    <xf numFmtId="0" fontId="2" fillId="0" borderId="0"/>
    <xf numFmtId="0" fontId="1"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9" fontId="8" fillId="0" borderId="0" applyFont="0" applyFill="0" applyBorder="0" applyAlignment="0" applyProtection="0"/>
    <xf numFmtId="0" fontId="8" fillId="0" borderId="0"/>
    <xf numFmtId="43" fontId="1" fillId="0" borderId="0" applyFont="0" applyFill="0" applyBorder="0" applyAlignment="0" applyProtection="0"/>
  </cellStyleXfs>
  <cellXfs count="128">
    <xf numFmtId="0" fontId="0" fillId="0" borderId="0" xfId="0"/>
    <xf numFmtId="0" fontId="5" fillId="0" borderId="1" xfId="6" applyFont="1" applyBorder="1"/>
    <xf numFmtId="0" fontId="6" fillId="0" borderId="1" xfId="6" applyFont="1" applyBorder="1"/>
    <xf numFmtId="0" fontId="7" fillId="0" borderId="1" xfId="7" applyFont="1" applyBorder="1" applyAlignment="1">
      <alignment horizontal="center" vertical="center" wrapText="1"/>
    </xf>
    <xf numFmtId="164" fontId="7" fillId="0" borderId="1" xfId="8" applyNumberFormat="1" applyFont="1" applyBorder="1" applyAlignment="1">
      <alignment horizontal="center" vertical="center" wrapText="1"/>
    </xf>
    <xf numFmtId="0" fontId="7" fillId="3" borderId="1" xfId="7" applyFont="1" applyFill="1" applyBorder="1" applyAlignment="1">
      <alignment horizontal="center" vertical="center" wrapText="1"/>
    </xf>
    <xf numFmtId="0" fontId="9" fillId="0" borderId="1" xfId="7" applyFont="1" applyBorder="1" applyAlignment="1">
      <alignment horizontal="center" vertical="center" wrapText="1"/>
    </xf>
    <xf numFmtId="0" fontId="10" fillId="3" borderId="1" xfId="7" applyFont="1" applyFill="1" applyBorder="1" applyAlignment="1">
      <alignment horizontal="center" vertical="center" wrapText="1"/>
    </xf>
    <xf numFmtId="0" fontId="11" fillId="0" borderId="1" xfId="7" applyFont="1" applyBorder="1" applyAlignment="1">
      <alignment horizontal="center" vertical="center" wrapText="1"/>
    </xf>
    <xf numFmtId="0" fontId="11" fillId="3" borderId="1" xfId="7" applyFont="1" applyFill="1" applyBorder="1" applyAlignment="1">
      <alignment horizontal="center" vertical="center" wrapText="1"/>
    </xf>
    <xf numFmtId="0" fontId="12" fillId="0" borderId="1" xfId="7" applyFont="1" applyBorder="1" applyAlignment="1">
      <alignment horizontal="center" vertical="center" wrapText="1"/>
    </xf>
    <xf numFmtId="164" fontId="5" fillId="0" borderId="1" xfId="8" applyNumberFormat="1" applyFont="1" applyBorder="1"/>
    <xf numFmtId="0" fontId="6" fillId="0" borderId="0" xfId="6" applyFont="1"/>
    <xf numFmtId="9" fontId="13" fillId="4" borderId="0" xfId="8" applyFont="1" applyFill="1" applyAlignment="1">
      <alignment horizontal="left" vertical="center" readingOrder="1"/>
    </xf>
    <xf numFmtId="9" fontId="6" fillId="4" borderId="0" xfId="8" applyFont="1" applyFill="1"/>
    <xf numFmtId="9" fontId="5" fillId="4" borderId="0" xfId="8" applyFont="1" applyFill="1"/>
    <xf numFmtId="9" fontId="6" fillId="3" borderId="0" xfId="8" applyFont="1" applyFill="1"/>
    <xf numFmtId="9" fontId="6" fillId="0" borderId="0" xfId="8" applyFont="1"/>
    <xf numFmtId="0" fontId="5" fillId="3" borderId="0" xfId="6" applyFont="1" applyFill="1"/>
    <xf numFmtId="0" fontId="6" fillId="3" borderId="0" xfId="6" applyFont="1" applyFill="1"/>
    <xf numFmtId="0" fontId="6" fillId="3" borderId="0" xfId="7" applyFont="1" applyFill="1"/>
    <xf numFmtId="164" fontId="6" fillId="3" borderId="0" xfId="8" applyNumberFormat="1" applyFont="1" applyFill="1"/>
    <xf numFmtId="0" fontId="14" fillId="3" borderId="0" xfId="7" applyFont="1" applyFill="1"/>
    <xf numFmtId="0" fontId="15" fillId="3" borderId="0" xfId="7" applyFont="1" applyFill="1"/>
    <xf numFmtId="164" fontId="14" fillId="3" borderId="0" xfId="8" applyNumberFormat="1" applyFont="1" applyFill="1"/>
    <xf numFmtId="0" fontId="14" fillId="3" borderId="0" xfId="6" applyFont="1" applyFill="1"/>
    <xf numFmtId="9" fontId="16" fillId="5" borderId="0" xfId="8" applyFont="1" applyFill="1" applyAlignment="1">
      <alignment horizontal="left" vertical="center" readingOrder="1"/>
    </xf>
    <xf numFmtId="9" fontId="17" fillId="5" borderId="0" xfId="8" applyFont="1" applyFill="1"/>
    <xf numFmtId="9" fontId="16" fillId="5" borderId="0" xfId="8" applyFont="1" applyFill="1"/>
    <xf numFmtId="9" fontId="17" fillId="3" borderId="0" xfId="8" applyFont="1" applyFill="1"/>
    <xf numFmtId="0" fontId="18" fillId="3" borderId="0" xfId="9" applyFont="1" applyFill="1" applyAlignment="1">
      <alignment horizontal="left" vertical="center"/>
    </xf>
    <xf numFmtId="164" fontId="18" fillId="3" borderId="0" xfId="8" applyNumberFormat="1" applyFont="1" applyFill="1" applyBorder="1" applyAlignment="1">
      <alignment horizontal="right" vertical="center"/>
    </xf>
    <xf numFmtId="0" fontId="6" fillId="3" borderId="0" xfId="6" applyFont="1" applyFill="1" applyAlignment="1">
      <alignment horizontal="left"/>
    </xf>
    <xf numFmtId="0" fontId="19" fillId="3" borderId="0" xfId="9" applyFont="1" applyFill="1" applyAlignment="1">
      <alignment horizontal="left" vertical="center"/>
    </xf>
    <xf numFmtId="0" fontId="14" fillId="3" borderId="0" xfId="6" applyFont="1" applyFill="1" applyAlignment="1">
      <alignment horizontal="left"/>
    </xf>
    <xf numFmtId="9" fontId="16" fillId="6" borderId="0" xfId="8" applyFont="1" applyFill="1" applyAlignment="1">
      <alignment horizontal="left" vertical="center" readingOrder="1"/>
    </xf>
    <xf numFmtId="9" fontId="17" fillId="6" borderId="0" xfId="8" applyFont="1" applyFill="1"/>
    <xf numFmtId="9" fontId="16" fillId="6" borderId="0" xfId="8" applyFont="1" applyFill="1"/>
    <xf numFmtId="0" fontId="14" fillId="0" borderId="0" xfId="6" applyFont="1"/>
    <xf numFmtId="164" fontId="6" fillId="0" borderId="0" xfId="8" applyNumberFormat="1" applyFont="1" applyFill="1"/>
    <xf numFmtId="9" fontId="16" fillId="7" borderId="0" xfId="8" applyFont="1" applyFill="1" applyAlignment="1">
      <alignment horizontal="left" vertical="center" readingOrder="1"/>
    </xf>
    <xf numFmtId="9" fontId="17" fillId="7" borderId="0" xfId="8" applyFont="1" applyFill="1"/>
    <xf numFmtId="9" fontId="16" fillId="7" borderId="0" xfId="8" applyFont="1" applyFill="1"/>
    <xf numFmtId="9" fontId="17" fillId="8" borderId="0" xfId="8" applyFont="1" applyFill="1"/>
    <xf numFmtId="9" fontId="13" fillId="2" borderId="0" xfId="8" applyFont="1" applyFill="1"/>
    <xf numFmtId="9" fontId="14" fillId="2" borderId="0" xfId="8" applyFont="1" applyFill="1"/>
    <xf numFmtId="9" fontId="13" fillId="3" borderId="0" xfId="8" applyFont="1" applyFill="1"/>
    <xf numFmtId="9" fontId="14" fillId="3" borderId="0" xfId="8" applyFont="1" applyFill="1"/>
    <xf numFmtId="0" fontId="16" fillId="9" borderId="0" xfId="6" applyFont="1" applyFill="1"/>
    <xf numFmtId="0" fontId="17" fillId="9" borderId="0" xfId="6" applyFont="1" applyFill="1"/>
    <xf numFmtId="9" fontId="16" fillId="9" borderId="0" xfId="8" applyFont="1" applyFill="1"/>
    <xf numFmtId="9" fontId="17" fillId="9" borderId="0" xfId="6" applyNumberFormat="1" applyFont="1" applyFill="1"/>
    <xf numFmtId="9" fontId="17" fillId="9" borderId="0" xfId="6" applyNumberFormat="1" applyFont="1" applyFill="1" applyAlignment="1">
      <alignment horizontal="left"/>
    </xf>
    <xf numFmtId="9" fontId="20" fillId="0" borderId="0" xfId="6" applyNumberFormat="1" applyFont="1" applyAlignment="1">
      <alignment horizontal="center"/>
    </xf>
    <xf numFmtId="164" fontId="5" fillId="0" borderId="0" xfId="8" applyNumberFormat="1" applyFont="1"/>
    <xf numFmtId="164" fontId="6" fillId="0" borderId="0" xfId="8" applyNumberFormat="1" applyFont="1"/>
    <xf numFmtId="0" fontId="21" fillId="0" borderId="0" xfId="9" applyFont="1"/>
    <xf numFmtId="0" fontId="5" fillId="0" borderId="0" xfId="6" applyFont="1"/>
    <xf numFmtId="9" fontId="16" fillId="3" borderId="0" xfId="8" applyFont="1" applyFill="1" applyAlignment="1">
      <alignment horizontal="left" vertical="center" readingOrder="1"/>
    </xf>
    <xf numFmtId="0" fontId="6" fillId="0" borderId="0" xfId="7" applyFont="1"/>
    <xf numFmtId="0" fontId="15" fillId="0" borderId="0" xfId="7" applyFont="1"/>
    <xf numFmtId="164" fontId="14" fillId="0" borderId="0" xfId="8" applyNumberFormat="1" applyFont="1" applyFill="1"/>
    <xf numFmtId="0" fontId="14" fillId="0" borderId="0" xfId="7" applyFont="1"/>
    <xf numFmtId="10" fontId="6" fillId="0" borderId="0" xfId="7" applyNumberFormat="1" applyFont="1"/>
    <xf numFmtId="10" fontId="6" fillId="0" borderId="0" xfId="8" applyNumberFormat="1" applyFont="1" applyFill="1"/>
    <xf numFmtId="10" fontId="6" fillId="0" borderId="0" xfId="6" applyNumberFormat="1" applyFont="1"/>
    <xf numFmtId="10" fontId="14" fillId="0" borderId="0" xfId="6" applyNumberFormat="1" applyFont="1"/>
    <xf numFmtId="164" fontId="5" fillId="0" borderId="1" xfId="8" applyNumberFormat="1" applyFont="1" applyFill="1" applyBorder="1"/>
    <xf numFmtId="9" fontId="5" fillId="0" borderId="0" xfId="8" applyFont="1" applyFill="1"/>
    <xf numFmtId="9" fontId="16" fillId="0" borderId="0" xfId="8" applyFont="1" applyFill="1"/>
    <xf numFmtId="164" fontId="18" fillId="0" borderId="0" xfId="8" applyNumberFormat="1" applyFont="1" applyFill="1" applyBorder="1" applyAlignment="1">
      <alignment horizontal="right" vertical="center"/>
    </xf>
    <xf numFmtId="0" fontId="14" fillId="0" borderId="0" xfId="6" applyFont="1" applyAlignment="1">
      <alignment horizontal="left"/>
    </xf>
    <xf numFmtId="9" fontId="13" fillId="0" borderId="0" xfId="8" applyFont="1" applyFill="1"/>
    <xf numFmtId="9" fontId="6" fillId="0" borderId="0" xfId="6" applyNumberFormat="1" applyFont="1"/>
    <xf numFmtId="164" fontId="5" fillId="0" borderId="0" xfId="8" applyNumberFormat="1" applyFont="1" applyFill="1"/>
    <xf numFmtId="0" fontId="22" fillId="0" borderId="0" xfId="6" applyFont="1"/>
    <xf numFmtId="0" fontId="23" fillId="3" borderId="0" xfId="6" applyFont="1" applyFill="1"/>
    <xf numFmtId="164" fontId="24" fillId="3" borderId="0" xfId="8" applyNumberFormat="1" applyFont="1" applyFill="1" applyBorder="1" applyAlignment="1">
      <alignment horizontal="right" vertical="center"/>
    </xf>
    <xf numFmtId="0" fontId="25" fillId="0" borderId="1" xfId="7" applyFont="1" applyBorder="1" applyAlignment="1">
      <alignment horizontal="center" vertical="center" wrapText="1"/>
    </xf>
    <xf numFmtId="164" fontId="25" fillId="0" borderId="1" xfId="8" applyNumberFormat="1" applyFont="1" applyBorder="1" applyAlignment="1">
      <alignment horizontal="center" vertical="center" wrapText="1"/>
    </xf>
    <xf numFmtId="0" fontId="25" fillId="3" borderId="1" xfId="7" applyFont="1" applyFill="1" applyBorder="1" applyAlignment="1">
      <alignment horizontal="center" vertical="center" wrapText="1"/>
    </xf>
    <xf numFmtId="0" fontId="23" fillId="0" borderId="1" xfId="7" applyFont="1" applyBorder="1" applyAlignment="1">
      <alignment horizontal="center" vertical="center" wrapText="1"/>
    </xf>
    <xf numFmtId="0" fontId="26" fillId="3" borderId="1" xfId="7" applyFont="1" applyFill="1" applyBorder="1" applyAlignment="1">
      <alignment horizontal="center" vertical="center" wrapText="1"/>
    </xf>
    <xf numFmtId="0" fontId="27" fillId="0" borderId="1" xfId="7" applyFont="1" applyBorder="1" applyAlignment="1">
      <alignment horizontal="center" vertical="center" wrapText="1"/>
    </xf>
    <xf numFmtId="0" fontId="27" fillId="3" borderId="1" xfId="7" applyFont="1" applyFill="1" applyBorder="1" applyAlignment="1">
      <alignment horizontal="center" vertical="center" wrapText="1"/>
    </xf>
    <xf numFmtId="0" fontId="28" fillId="0" borderId="1" xfId="7" applyFont="1" applyBorder="1" applyAlignment="1">
      <alignment horizontal="center" vertical="center" wrapText="1"/>
    </xf>
    <xf numFmtId="0" fontId="23" fillId="0" borderId="0" xfId="6" applyFont="1"/>
    <xf numFmtId="0" fontId="29" fillId="0" borderId="0" xfId="9" applyFont="1"/>
    <xf numFmtId="0" fontId="30" fillId="0" borderId="1" xfId="7" applyFont="1" applyBorder="1" applyAlignment="1">
      <alignment horizontal="center" vertical="center" wrapText="1"/>
    </xf>
    <xf numFmtId="0" fontId="23" fillId="3" borderId="0" xfId="7" applyFont="1" applyFill="1"/>
    <xf numFmtId="164" fontId="23" fillId="3" borderId="0" xfId="8" applyNumberFormat="1" applyFont="1" applyFill="1"/>
    <xf numFmtId="164" fontId="23" fillId="0" borderId="0" xfId="8" applyNumberFormat="1" applyFont="1" applyFill="1"/>
    <xf numFmtId="0" fontId="5" fillId="0" borderId="0" xfId="6" applyFont="1" applyAlignment="1">
      <alignment horizontal="center"/>
    </xf>
    <xf numFmtId="164" fontId="5" fillId="0" borderId="0" xfId="8" applyNumberFormat="1" applyFont="1" applyAlignment="1">
      <alignment horizontal="center"/>
    </xf>
    <xf numFmtId="0" fontId="5" fillId="3" borderId="0" xfId="6" applyFont="1" applyFill="1" applyAlignment="1">
      <alignment horizontal="center"/>
    </xf>
    <xf numFmtId="0" fontId="31" fillId="0" borderId="0" xfId="7" applyFont="1" applyAlignment="1">
      <alignment horizontal="center" vertical="center" wrapText="1"/>
    </xf>
    <xf numFmtId="0" fontId="31" fillId="3" borderId="0" xfId="7" applyFont="1" applyFill="1" applyAlignment="1">
      <alignment horizontal="center" vertical="center" wrapText="1"/>
    </xf>
    <xf numFmtId="0" fontId="32" fillId="0" borderId="0" xfId="7" applyFont="1" applyAlignment="1">
      <alignment horizontal="center" vertical="center" wrapText="1"/>
    </xf>
    <xf numFmtId="0" fontId="32" fillId="3" borderId="0" xfId="7" applyFont="1" applyFill="1" applyAlignment="1">
      <alignment horizontal="center" vertical="center" wrapText="1"/>
    </xf>
    <xf numFmtId="9" fontId="17" fillId="0" borderId="0" xfId="8" applyFont="1" applyFill="1"/>
    <xf numFmtId="9" fontId="6" fillId="0" borderId="0" xfId="8" applyFont="1" applyFill="1"/>
    <xf numFmtId="9" fontId="13" fillId="0" borderId="0" xfId="8" applyFont="1" applyFill="1" applyAlignment="1">
      <alignment horizontal="left" vertical="center" readingOrder="1"/>
    </xf>
    <xf numFmtId="43" fontId="6" fillId="0" borderId="0" xfId="10" applyFont="1" applyFill="1"/>
    <xf numFmtId="164" fontId="6" fillId="0" borderId="0" xfId="7" applyNumberFormat="1" applyFont="1"/>
    <xf numFmtId="164" fontId="6" fillId="0" borderId="0" xfId="6" applyNumberFormat="1" applyFont="1"/>
    <xf numFmtId="164" fontId="14" fillId="0" borderId="0" xfId="6" applyNumberFormat="1" applyFont="1"/>
    <xf numFmtId="164" fontId="19" fillId="3" borderId="0" xfId="8" applyNumberFormat="1" applyFont="1" applyFill="1" applyBorder="1" applyAlignment="1">
      <alignment horizontal="right" vertical="center"/>
    </xf>
    <xf numFmtId="0" fontId="14" fillId="10" borderId="0" xfId="6" applyFont="1" applyFill="1"/>
    <xf numFmtId="164" fontId="19" fillId="0" borderId="0" xfId="8" applyNumberFormat="1" applyFont="1" applyFill="1" applyBorder="1" applyAlignment="1">
      <alignment horizontal="right" vertical="center"/>
    </xf>
    <xf numFmtId="164" fontId="14" fillId="0" borderId="0" xfId="8" applyNumberFormat="1" applyFont="1" applyFill="1" applyBorder="1"/>
    <xf numFmtId="0" fontId="33" fillId="0" borderId="0" xfId="6" applyFont="1"/>
    <xf numFmtId="0" fontId="33" fillId="3" borderId="0" xfId="6" applyFont="1" applyFill="1"/>
    <xf numFmtId="164" fontId="14" fillId="3" borderId="0" xfId="8" applyNumberFormat="1" applyFont="1" applyFill="1" applyBorder="1"/>
    <xf numFmtId="0" fontId="13" fillId="0" borderId="0" xfId="6" applyFont="1"/>
    <xf numFmtId="0" fontId="19" fillId="0" borderId="0" xfId="9" applyFont="1" applyAlignment="1">
      <alignment horizontal="left" vertical="center"/>
    </xf>
    <xf numFmtId="164" fontId="5" fillId="4" borderId="0" xfId="8" applyNumberFormat="1" applyFont="1" applyFill="1"/>
    <xf numFmtId="164" fontId="16" fillId="5" borderId="0" xfId="8" applyNumberFormat="1" applyFont="1" applyFill="1"/>
    <xf numFmtId="164" fontId="16" fillId="6" borderId="0" xfId="8" applyNumberFormat="1" applyFont="1" applyFill="1"/>
    <xf numFmtId="164" fontId="16" fillId="7" borderId="0" xfId="8" applyNumberFormat="1" applyFont="1" applyFill="1"/>
    <xf numFmtId="164" fontId="13" fillId="2" borderId="0" xfId="8" applyNumberFormat="1" applyFont="1" applyFill="1"/>
    <xf numFmtId="164" fontId="16" fillId="9" borderId="0" xfId="8" applyNumberFormat="1" applyFont="1" applyFill="1"/>
    <xf numFmtId="0" fontId="34" fillId="0" borderId="0" xfId="0" applyFont="1" applyAlignment="1">
      <alignment vertical="center" wrapText="1"/>
    </xf>
    <xf numFmtId="0" fontId="4" fillId="0" borderId="0" xfId="0" applyFont="1" applyAlignment="1">
      <alignment vertical="center" wrapText="1"/>
    </xf>
    <xf numFmtId="0" fontId="4" fillId="0" borderId="0" xfId="6" applyFont="1" applyAlignment="1">
      <alignment vertical="center" wrapText="1"/>
    </xf>
    <xf numFmtId="0" fontId="4" fillId="0" borderId="0" xfId="0" applyFont="1" applyAlignment="1">
      <alignment horizontal="center" vertical="center" wrapText="1"/>
    </xf>
    <xf numFmtId="0" fontId="34" fillId="0" borderId="0" xfId="0" applyFont="1" applyAlignment="1">
      <alignment horizontal="center" wrapText="1"/>
    </xf>
    <xf numFmtId="0" fontId="4" fillId="0" borderId="0" xfId="0" applyFont="1" applyAlignment="1">
      <alignment horizontal="center" wrapText="1"/>
    </xf>
    <xf numFmtId="9" fontId="4" fillId="0" borderId="0" xfId="0" applyNumberFormat="1" applyFont="1" applyAlignment="1">
      <alignment horizontal="center" wrapText="1"/>
    </xf>
  </cellXfs>
  <cellStyles count="11">
    <cellStyle name="Comma" xfId="10" builtinId="3"/>
    <cellStyle name="Comma 2" xfId="3" xr:uid="{CD9BE299-5E8F-4EAA-9A7E-1903BF6A3650}"/>
    <cellStyle name="Normal" xfId="0" builtinId="0"/>
    <cellStyle name="Normal 2" xfId="9" xr:uid="{929A49B5-251B-4DC4-A29C-B3F991B90867}"/>
    <cellStyle name="Normal 2 2" xfId="2" xr:uid="{F4B1519E-663D-416B-8F45-AEEF5EBB9706}"/>
    <cellStyle name="Normal 3 2" xfId="5" xr:uid="{B89240C3-262F-407C-B348-FB32E2AE04E8}"/>
    <cellStyle name="Normal 5" xfId="7" xr:uid="{61FBCB4D-EE0D-481E-9166-BAF400623416}"/>
    <cellStyle name="Normal 6" xfId="6" xr:uid="{499139BE-82F8-4FA0-9238-B781A6ADEADE}"/>
    <cellStyle name="Normal 7" xfId="1" xr:uid="{38C16F37-AB47-48D8-866A-962AF1E798E6}"/>
    <cellStyle name="Percent 2" xfId="8" xr:uid="{C69F4678-044D-4E86-A363-72684A1C9234}"/>
    <cellStyle name="Percent 2 2" xfId="4" xr:uid="{B7BEC574-035C-4FE1-BC4C-A6676C566B18}"/>
  </cellStyles>
  <dxfs count="0"/>
  <tableStyles count="1" defaultTableStyle="TableStyleMedium2" defaultPivotStyle="PivotStyleLight16">
    <tableStyle name="Invisible" pivot="0" table="0" count="0" xr9:uid="{D0947314-2CCA-48CF-BF04-7F0E70E946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Hokanson\AppData\Local\Microsoft\Windows\INetCache\Content.Outlook\MGBU6NH8\Model%20Archetypes%20(inc%20international).xlsx" TargetMode="External"/><Relationship Id="rId1" Type="http://schemas.openxmlformats.org/officeDocument/2006/relationships/externalLinkPath" Target="file:///C:\Users\AlexHokanson\AppData\Local\Microsoft\Windows\INetCache\Content.Outlook\MGBU6NH8\Model%20Archetypes%20(inc%20internat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TABLES"/>
      <sheetName val="CHARTS"/>
      <sheetName val="4 models (US)"/>
      <sheetName val="4 models (INT)"/>
      <sheetName val="4 models liquid (US)"/>
      <sheetName val="4 models liquid (INT)"/>
      <sheetName val="Sheet1"/>
    </sheetNames>
    <sheetDataSet>
      <sheetData sheetId="0"/>
      <sheetData sheetId="1">
        <row r="3">
          <cell r="C3">
            <v>0.14000000000000001</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AlTi">
  <a:themeElements>
    <a:clrScheme name="Custom 1">
      <a:dk1>
        <a:sysClr val="windowText" lastClr="000000"/>
      </a:dk1>
      <a:lt1>
        <a:sysClr val="window" lastClr="FFFFFF"/>
      </a:lt1>
      <a:dk2>
        <a:srgbClr val="777777"/>
      </a:dk2>
      <a:lt2>
        <a:srgbClr val="E9F6F5"/>
      </a:lt2>
      <a:accent1>
        <a:srgbClr val="00E7D7"/>
      </a:accent1>
      <a:accent2>
        <a:srgbClr val="0F94A6"/>
      </a:accent2>
      <a:accent3>
        <a:srgbClr val="0A598C"/>
      </a:accent3>
      <a:accent4>
        <a:srgbClr val="DBCB23"/>
      </a:accent4>
      <a:accent5>
        <a:srgbClr val="821A8B"/>
      </a:accent5>
      <a:accent6>
        <a:srgbClr val="B8A61F"/>
      </a:accent6>
      <a:hlink>
        <a:srgbClr val="EC8A13"/>
      </a:hlink>
      <a:folHlink>
        <a:srgbClr val="AE2095"/>
      </a:folHlink>
    </a:clrScheme>
    <a:fontScheme name="Custom 9">
      <a:majorFont>
        <a:latin typeface="Century"/>
        <a:ea typeface=""/>
        <a:cs typeface=""/>
      </a:majorFont>
      <a:minorFont>
        <a:latin typeface="Arial Nova Ligh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lTi" id="{615E75DA-131F-4520-B93F-8C05E742D167}" vid="{482BEB28-363B-41E5-BF75-CFDC6ACDADE1}"/>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7E3F-2498-4B3E-9736-09F15B226D3F}">
  <dimension ref="A1:L53"/>
  <sheetViews>
    <sheetView workbookViewId="0">
      <selection activeCell="A31" sqref="A31"/>
    </sheetView>
  </sheetViews>
  <sheetFormatPr defaultColWidth="16.375" defaultRowHeight="24" customHeight="1" x14ac:dyDescent="0.2"/>
  <cols>
    <col min="1" max="1" width="27.375" style="122" bestFit="1" customWidth="1"/>
    <col min="2" max="2" width="16.875" style="122" bestFit="1" customWidth="1"/>
    <col min="3" max="3" width="29.5" style="122" customWidth="1"/>
    <col min="4" max="4" width="20.5" style="122" bestFit="1" customWidth="1"/>
    <col min="5" max="5" width="5.75" style="122" bestFit="1" customWidth="1"/>
    <col min="6" max="6" width="23" style="122" customWidth="1"/>
    <col min="7" max="7" width="39.375" style="122" bestFit="1" customWidth="1"/>
    <col min="8" max="8" width="27.5" style="122" bestFit="1" customWidth="1"/>
    <col min="9" max="9" width="10" style="126" bestFit="1" customWidth="1"/>
    <col min="10" max="10" width="6.875" style="122" bestFit="1" customWidth="1"/>
    <col min="11" max="11" width="32.25" style="122" bestFit="1" customWidth="1"/>
    <col min="12" max="12" width="102.75" style="122" customWidth="1"/>
    <col min="13" max="16384" width="16.375" style="122"/>
  </cols>
  <sheetData>
    <row r="1" spans="1:12" ht="24" customHeight="1" x14ac:dyDescent="0.2">
      <c r="A1" s="121" t="s">
        <v>104</v>
      </c>
      <c r="B1" s="121" t="s">
        <v>105</v>
      </c>
      <c r="C1" s="121" t="s">
        <v>318</v>
      </c>
      <c r="D1" s="121" t="s">
        <v>317</v>
      </c>
      <c r="E1" s="121" t="s">
        <v>316</v>
      </c>
      <c r="F1" s="121" t="s">
        <v>319</v>
      </c>
      <c r="G1" s="121" t="s">
        <v>323</v>
      </c>
      <c r="H1" s="121" t="s">
        <v>320</v>
      </c>
      <c r="I1" s="125" t="s">
        <v>341</v>
      </c>
      <c r="J1" s="121" t="s">
        <v>338</v>
      </c>
      <c r="K1" s="121" t="s">
        <v>321</v>
      </c>
      <c r="L1" s="121" t="s">
        <v>119</v>
      </c>
    </row>
    <row r="2" spans="1:12" ht="24" customHeight="1" x14ac:dyDescent="0.2">
      <c r="A2" s="122" t="s">
        <v>60</v>
      </c>
      <c r="B2" s="122" t="s">
        <v>101</v>
      </c>
      <c r="C2" s="122" t="s">
        <v>226</v>
      </c>
      <c r="D2" s="122" t="s">
        <v>225</v>
      </c>
      <c r="E2" s="124">
        <v>1099</v>
      </c>
      <c r="F2" s="122" t="s">
        <v>237</v>
      </c>
      <c r="G2" s="122" t="s">
        <v>227</v>
      </c>
      <c r="H2" s="122" t="s">
        <v>350</v>
      </c>
      <c r="I2" s="126" t="s">
        <v>342</v>
      </c>
      <c r="J2" s="122" t="s">
        <v>340</v>
      </c>
      <c r="K2" s="122" t="s">
        <v>238</v>
      </c>
      <c r="L2" s="122" t="s">
        <v>236</v>
      </c>
    </row>
    <row r="3" spans="1:12" ht="24" customHeight="1" x14ac:dyDescent="0.2">
      <c r="A3" s="122" t="s">
        <v>100</v>
      </c>
      <c r="B3" s="122" t="s">
        <v>101</v>
      </c>
      <c r="C3" s="122" t="s">
        <v>231</v>
      </c>
      <c r="D3" s="122" t="s">
        <v>225</v>
      </c>
      <c r="E3" s="124">
        <v>1099</v>
      </c>
      <c r="F3" s="122" t="s">
        <v>237</v>
      </c>
      <c r="G3" s="122" t="s">
        <v>248</v>
      </c>
      <c r="H3" s="122" t="s">
        <v>234</v>
      </c>
      <c r="I3" s="126" t="s">
        <v>342</v>
      </c>
      <c r="J3" s="122" t="s">
        <v>340</v>
      </c>
      <c r="K3" s="122" t="s">
        <v>249</v>
      </c>
      <c r="L3" s="122" t="s">
        <v>247</v>
      </c>
    </row>
    <row r="4" spans="1:12" ht="24" customHeight="1" x14ac:dyDescent="0.2">
      <c r="A4" s="122" t="s">
        <v>65</v>
      </c>
      <c r="B4" s="122" t="s">
        <v>101</v>
      </c>
      <c r="C4" s="122" t="s">
        <v>138</v>
      </c>
      <c r="D4" s="122" t="s">
        <v>142</v>
      </c>
      <c r="E4" s="124">
        <v>1099</v>
      </c>
      <c r="F4" s="122" t="s">
        <v>133</v>
      </c>
      <c r="G4" s="122" t="s">
        <v>143</v>
      </c>
      <c r="H4" s="122" t="s">
        <v>135</v>
      </c>
      <c r="I4" s="127" t="s">
        <v>349</v>
      </c>
      <c r="J4" s="122" t="s">
        <v>339</v>
      </c>
      <c r="K4" s="122" t="s">
        <v>144</v>
      </c>
      <c r="L4" s="122" t="s">
        <v>141</v>
      </c>
    </row>
    <row r="5" spans="1:12" ht="24" customHeight="1" x14ac:dyDescent="0.2">
      <c r="A5" s="122" t="s">
        <v>52</v>
      </c>
      <c r="B5" s="122" t="s">
        <v>101</v>
      </c>
      <c r="C5" s="122" t="s">
        <v>226</v>
      </c>
      <c r="D5" s="122" t="s">
        <v>225</v>
      </c>
      <c r="E5" s="124">
        <v>1099</v>
      </c>
      <c r="F5" s="122" t="s">
        <v>133</v>
      </c>
      <c r="G5" s="122" t="s">
        <v>227</v>
      </c>
      <c r="H5" s="122" t="s">
        <v>228</v>
      </c>
      <c r="I5" s="126" t="s">
        <v>342</v>
      </c>
      <c r="J5" s="122" t="s">
        <v>340</v>
      </c>
      <c r="K5" s="122" t="s">
        <v>229</v>
      </c>
      <c r="L5" s="122" t="s">
        <v>224</v>
      </c>
    </row>
    <row r="6" spans="1:12" ht="24" customHeight="1" x14ac:dyDescent="0.2">
      <c r="A6" s="122" t="s">
        <v>239</v>
      </c>
      <c r="B6" s="122" t="s">
        <v>101</v>
      </c>
      <c r="C6" s="122" t="s">
        <v>241</v>
      </c>
      <c r="D6" s="122" t="s">
        <v>225</v>
      </c>
      <c r="E6" s="124">
        <v>1099</v>
      </c>
      <c r="F6" s="122" t="s">
        <v>133</v>
      </c>
      <c r="G6" s="122" t="s">
        <v>227</v>
      </c>
      <c r="H6" s="122" t="s">
        <v>234</v>
      </c>
      <c r="I6" s="126" t="s">
        <v>342</v>
      </c>
      <c r="J6" s="122" t="s">
        <v>340</v>
      </c>
      <c r="K6" s="122" t="s">
        <v>242</v>
      </c>
      <c r="L6" s="122" t="s">
        <v>240</v>
      </c>
    </row>
    <row r="7" spans="1:12" ht="24" customHeight="1" x14ac:dyDescent="0.2">
      <c r="A7" s="122" t="s">
        <v>8</v>
      </c>
      <c r="B7" s="122" t="s">
        <v>101</v>
      </c>
      <c r="C7" s="122" t="s">
        <v>132</v>
      </c>
      <c r="D7" s="122" t="s">
        <v>131</v>
      </c>
      <c r="E7" s="124">
        <v>1099</v>
      </c>
      <c r="F7" s="122" t="s">
        <v>133</v>
      </c>
      <c r="G7" s="122" t="s">
        <v>134</v>
      </c>
      <c r="H7" s="122" t="s">
        <v>135</v>
      </c>
      <c r="I7" s="126" t="s">
        <v>342</v>
      </c>
      <c r="J7" s="122" t="s">
        <v>339</v>
      </c>
      <c r="K7" s="122" t="s">
        <v>136</v>
      </c>
      <c r="L7" s="122" t="s">
        <v>130</v>
      </c>
    </row>
    <row r="8" spans="1:12" ht="24" customHeight="1" x14ac:dyDescent="0.2">
      <c r="A8" s="122" t="s">
        <v>332</v>
      </c>
      <c r="B8" s="122" t="s">
        <v>101</v>
      </c>
      <c r="C8" s="122" t="s">
        <v>334</v>
      </c>
      <c r="D8" s="122" t="s">
        <v>137</v>
      </c>
      <c r="E8" s="124">
        <v>1099</v>
      </c>
      <c r="F8" s="122" t="s">
        <v>133</v>
      </c>
      <c r="G8" s="122" t="s">
        <v>335</v>
      </c>
      <c r="H8" s="122" t="s">
        <v>135</v>
      </c>
      <c r="I8" s="126" t="s">
        <v>347</v>
      </c>
      <c r="J8" s="122" t="s">
        <v>339</v>
      </c>
      <c r="K8" s="122" t="s">
        <v>140</v>
      </c>
      <c r="L8" s="122" t="s">
        <v>337</v>
      </c>
    </row>
    <row r="9" spans="1:12" ht="24" customHeight="1" x14ac:dyDescent="0.2">
      <c r="A9" s="122" t="s">
        <v>331</v>
      </c>
      <c r="B9" s="122" t="s">
        <v>101</v>
      </c>
      <c r="C9" s="122" t="s">
        <v>333</v>
      </c>
      <c r="D9" s="122" t="s">
        <v>137</v>
      </c>
      <c r="E9" s="124">
        <v>1099</v>
      </c>
      <c r="F9" s="122" t="s">
        <v>133</v>
      </c>
      <c r="G9" s="122" t="s">
        <v>139</v>
      </c>
      <c r="H9" s="122" t="s">
        <v>135</v>
      </c>
      <c r="I9" s="126" t="s">
        <v>347</v>
      </c>
      <c r="J9" s="122" t="s">
        <v>339</v>
      </c>
      <c r="K9" s="122" t="s">
        <v>140</v>
      </c>
      <c r="L9" s="122" t="s">
        <v>336</v>
      </c>
    </row>
    <row r="10" spans="1:12" ht="24" customHeight="1" x14ac:dyDescent="0.2">
      <c r="A10" s="122" t="s">
        <v>99</v>
      </c>
      <c r="B10" s="122" t="s">
        <v>101</v>
      </c>
      <c r="C10" s="122" t="s">
        <v>244</v>
      </c>
      <c r="D10" s="122" t="s">
        <v>225</v>
      </c>
      <c r="E10" s="124">
        <v>1099</v>
      </c>
      <c r="F10" s="122" t="s">
        <v>133</v>
      </c>
      <c r="G10" s="122" t="s">
        <v>245</v>
      </c>
      <c r="H10" s="122" t="s">
        <v>234</v>
      </c>
      <c r="I10" s="126" t="s">
        <v>342</v>
      </c>
      <c r="J10" s="122" t="s">
        <v>340</v>
      </c>
      <c r="K10" s="122" t="s">
        <v>246</v>
      </c>
      <c r="L10" s="122" t="s">
        <v>243</v>
      </c>
    </row>
    <row r="11" spans="1:12" ht="24" customHeight="1" x14ac:dyDescent="0.2">
      <c r="A11" s="122" t="s">
        <v>55</v>
      </c>
      <c r="B11" s="122" t="s">
        <v>101</v>
      </c>
      <c r="C11" s="122" t="s">
        <v>231</v>
      </c>
      <c r="D11" s="122" t="s">
        <v>225</v>
      </c>
      <c r="E11" s="124">
        <v>1099</v>
      </c>
      <c r="F11" s="122" t="s">
        <v>232</v>
      </c>
      <c r="G11" s="122" t="s">
        <v>233</v>
      </c>
      <c r="H11" s="122" t="s">
        <v>234</v>
      </c>
      <c r="I11" s="126" t="s">
        <v>342</v>
      </c>
      <c r="J11" s="122" t="s">
        <v>340</v>
      </c>
      <c r="K11" s="122" t="s">
        <v>235</v>
      </c>
      <c r="L11" s="122" t="s">
        <v>230</v>
      </c>
    </row>
    <row r="12" spans="1:12" ht="24" customHeight="1" x14ac:dyDescent="0.2">
      <c r="A12" s="123" t="s">
        <v>125</v>
      </c>
      <c r="B12" s="122" t="s">
        <v>103</v>
      </c>
      <c r="C12" s="122" t="s">
        <v>296</v>
      </c>
      <c r="D12" s="122" t="s">
        <v>352</v>
      </c>
      <c r="E12" s="124" t="s">
        <v>118</v>
      </c>
      <c r="F12" s="122" t="s">
        <v>176</v>
      </c>
      <c r="G12" s="122" t="s">
        <v>297</v>
      </c>
      <c r="H12" s="122" t="s">
        <v>325</v>
      </c>
      <c r="I12" s="126" t="s">
        <v>342</v>
      </c>
      <c r="J12" s="122" t="s">
        <v>339</v>
      </c>
      <c r="K12" s="122" t="s">
        <v>298</v>
      </c>
      <c r="L12" s="122" t="s">
        <v>295</v>
      </c>
    </row>
    <row r="13" spans="1:12" ht="24" customHeight="1" x14ac:dyDescent="0.2">
      <c r="A13" s="122" t="s">
        <v>38</v>
      </c>
      <c r="B13" s="122" t="s">
        <v>103</v>
      </c>
      <c r="C13" s="122" t="s">
        <v>214</v>
      </c>
      <c r="D13" s="122" t="s">
        <v>131</v>
      </c>
      <c r="E13" s="124">
        <v>1099</v>
      </c>
      <c r="F13" s="122" t="s">
        <v>176</v>
      </c>
      <c r="G13" s="122" t="s">
        <v>215</v>
      </c>
      <c r="H13" s="122" t="s">
        <v>135</v>
      </c>
      <c r="I13" s="127" t="s">
        <v>349</v>
      </c>
      <c r="J13" s="122" t="s">
        <v>339</v>
      </c>
      <c r="K13" s="122" t="s">
        <v>216</v>
      </c>
      <c r="L13" s="122" t="s">
        <v>213</v>
      </c>
    </row>
    <row r="14" spans="1:12" ht="24" customHeight="1" x14ac:dyDescent="0.2">
      <c r="A14" s="123" t="s">
        <v>124</v>
      </c>
      <c r="B14" s="122" t="s">
        <v>103</v>
      </c>
      <c r="C14" s="122" t="s">
        <v>293</v>
      </c>
      <c r="D14" s="122" t="s">
        <v>352</v>
      </c>
      <c r="E14" s="124" t="s">
        <v>118</v>
      </c>
      <c r="F14" s="122" t="s">
        <v>176</v>
      </c>
      <c r="G14" s="122" t="s">
        <v>252</v>
      </c>
      <c r="H14" s="122" t="s">
        <v>325</v>
      </c>
      <c r="I14" s="126" t="s">
        <v>342</v>
      </c>
      <c r="J14" s="122" t="s">
        <v>339</v>
      </c>
      <c r="K14" s="122" t="s">
        <v>294</v>
      </c>
      <c r="L14" s="122" t="s">
        <v>292</v>
      </c>
    </row>
    <row r="15" spans="1:12" ht="24" customHeight="1" x14ac:dyDescent="0.2">
      <c r="A15" s="123" t="s">
        <v>110</v>
      </c>
      <c r="B15" s="122" t="s">
        <v>103</v>
      </c>
      <c r="C15" s="122" t="s">
        <v>273</v>
      </c>
      <c r="D15" s="122" t="s">
        <v>352</v>
      </c>
      <c r="E15" s="124" t="s">
        <v>118</v>
      </c>
      <c r="F15" s="122" t="s">
        <v>274</v>
      </c>
      <c r="G15" s="122" t="s">
        <v>275</v>
      </c>
      <c r="H15" s="122" t="s">
        <v>325</v>
      </c>
      <c r="I15" s="126" t="s">
        <v>342</v>
      </c>
      <c r="J15" s="122" t="s">
        <v>339</v>
      </c>
      <c r="K15" s="122" t="s">
        <v>276</v>
      </c>
      <c r="L15" s="122" t="s">
        <v>272</v>
      </c>
    </row>
    <row r="16" spans="1:12" ht="24" customHeight="1" x14ac:dyDescent="0.2">
      <c r="A16" s="123" t="s">
        <v>121</v>
      </c>
      <c r="B16" s="122" t="s">
        <v>103</v>
      </c>
      <c r="C16" s="122" t="s">
        <v>278</v>
      </c>
      <c r="D16" s="122" t="s">
        <v>352</v>
      </c>
      <c r="E16" s="124" t="s">
        <v>118</v>
      </c>
      <c r="F16" s="122" t="s">
        <v>274</v>
      </c>
      <c r="G16" s="122" t="s">
        <v>279</v>
      </c>
      <c r="H16" s="122" t="s">
        <v>325</v>
      </c>
      <c r="I16" s="126" t="s">
        <v>342</v>
      </c>
      <c r="J16" s="122" t="s">
        <v>339</v>
      </c>
      <c r="K16" s="122" t="s">
        <v>280</v>
      </c>
      <c r="L16" s="122" t="s">
        <v>277</v>
      </c>
    </row>
    <row r="17" spans="1:12" ht="24" customHeight="1" x14ac:dyDescent="0.2">
      <c r="A17" s="123" t="s">
        <v>126</v>
      </c>
      <c r="B17" s="122" t="s">
        <v>103</v>
      </c>
      <c r="C17" s="122" t="s">
        <v>300</v>
      </c>
      <c r="D17" s="122" t="s">
        <v>352</v>
      </c>
      <c r="E17" s="124" t="s">
        <v>118</v>
      </c>
      <c r="F17" s="122" t="s">
        <v>153</v>
      </c>
      <c r="G17" s="122" t="s">
        <v>301</v>
      </c>
      <c r="H17" s="122" t="s">
        <v>325</v>
      </c>
      <c r="I17" s="126" t="s">
        <v>342</v>
      </c>
      <c r="J17" s="122" t="s">
        <v>339</v>
      </c>
      <c r="K17" s="122" t="s">
        <v>302</v>
      </c>
      <c r="L17" s="122" t="s">
        <v>299</v>
      </c>
    </row>
    <row r="18" spans="1:12" ht="24" customHeight="1" x14ac:dyDescent="0.2">
      <c r="A18" s="123" t="s">
        <v>106</v>
      </c>
      <c r="B18" s="122" t="s">
        <v>103</v>
      </c>
      <c r="C18" s="122" t="s">
        <v>251</v>
      </c>
      <c r="D18" s="122" t="s">
        <v>352</v>
      </c>
      <c r="E18" s="124" t="s">
        <v>118</v>
      </c>
      <c r="F18" s="122" t="s">
        <v>153</v>
      </c>
      <c r="G18" s="122" t="s">
        <v>252</v>
      </c>
      <c r="H18" s="122" t="s">
        <v>325</v>
      </c>
      <c r="I18" s="126" t="s">
        <v>342</v>
      </c>
      <c r="J18" s="122" t="s">
        <v>339</v>
      </c>
      <c r="K18" s="122" t="s">
        <v>253</v>
      </c>
      <c r="L18" s="122" t="s">
        <v>250</v>
      </c>
    </row>
    <row r="19" spans="1:12" ht="24" customHeight="1" x14ac:dyDescent="0.2">
      <c r="A19" s="123" t="s">
        <v>107</v>
      </c>
      <c r="B19" s="122" t="s">
        <v>103</v>
      </c>
      <c r="C19" s="122" t="s">
        <v>262</v>
      </c>
      <c r="D19" s="122" t="s">
        <v>352</v>
      </c>
      <c r="E19" s="124" t="s">
        <v>118</v>
      </c>
      <c r="F19" s="122" t="s">
        <v>153</v>
      </c>
      <c r="G19" s="122" t="s">
        <v>263</v>
      </c>
      <c r="H19" s="122" t="s">
        <v>325</v>
      </c>
      <c r="I19" s="126" t="s">
        <v>342</v>
      </c>
      <c r="J19" s="122" t="s">
        <v>339</v>
      </c>
      <c r="K19" s="122" t="s">
        <v>264</v>
      </c>
      <c r="L19" s="122" t="s">
        <v>261</v>
      </c>
    </row>
    <row r="20" spans="1:12" ht="24" customHeight="1" x14ac:dyDescent="0.2">
      <c r="A20" s="123" t="s">
        <v>108</v>
      </c>
      <c r="B20" s="122" t="s">
        <v>103</v>
      </c>
      <c r="C20" s="122" t="s">
        <v>266</v>
      </c>
      <c r="D20" s="122" t="s">
        <v>352</v>
      </c>
      <c r="E20" s="124" t="s">
        <v>118</v>
      </c>
      <c r="F20" s="122" t="s">
        <v>153</v>
      </c>
      <c r="G20" s="122" t="s">
        <v>252</v>
      </c>
      <c r="H20" s="122" t="s">
        <v>325</v>
      </c>
      <c r="I20" s="126" t="s">
        <v>342</v>
      </c>
      <c r="J20" s="122" t="s">
        <v>339</v>
      </c>
      <c r="K20" s="122" t="s">
        <v>267</v>
      </c>
      <c r="L20" s="122" t="s">
        <v>265</v>
      </c>
    </row>
    <row r="21" spans="1:12" ht="24" customHeight="1" x14ac:dyDescent="0.2">
      <c r="A21" s="123" t="s">
        <v>112</v>
      </c>
      <c r="B21" s="122" t="s">
        <v>103</v>
      </c>
      <c r="C21" s="122" t="s">
        <v>308</v>
      </c>
      <c r="D21" s="122" t="s">
        <v>352</v>
      </c>
      <c r="E21" s="124" t="s">
        <v>118</v>
      </c>
      <c r="F21" s="122" t="s">
        <v>153</v>
      </c>
      <c r="G21" s="122" t="s">
        <v>252</v>
      </c>
      <c r="H21" s="122" t="s">
        <v>325</v>
      </c>
      <c r="I21" s="126" t="s">
        <v>342</v>
      </c>
      <c r="J21" s="122" t="s">
        <v>340</v>
      </c>
      <c r="K21" s="122" t="s">
        <v>309</v>
      </c>
      <c r="L21" s="122" t="s">
        <v>307</v>
      </c>
    </row>
    <row r="22" spans="1:12" ht="24" customHeight="1" x14ac:dyDescent="0.2">
      <c r="A22" s="122" t="s">
        <v>96</v>
      </c>
      <c r="B22" s="122" t="s">
        <v>103</v>
      </c>
      <c r="C22" s="122" t="s">
        <v>210</v>
      </c>
      <c r="D22" s="122" t="s">
        <v>322</v>
      </c>
      <c r="E22" s="124" t="s">
        <v>118</v>
      </c>
      <c r="F22" s="122" t="s">
        <v>153</v>
      </c>
      <c r="G22" s="122" t="s">
        <v>211</v>
      </c>
      <c r="H22" s="122" t="s">
        <v>326</v>
      </c>
      <c r="I22" s="127" t="s">
        <v>349</v>
      </c>
      <c r="J22" s="122" t="s">
        <v>339</v>
      </c>
      <c r="K22" s="122" t="s">
        <v>212</v>
      </c>
      <c r="L22" s="122" t="s">
        <v>209</v>
      </c>
    </row>
    <row r="23" spans="1:12" ht="24" customHeight="1" x14ac:dyDescent="0.2">
      <c r="A23" s="122" t="s">
        <v>29</v>
      </c>
      <c r="B23" s="122" t="s">
        <v>103</v>
      </c>
      <c r="C23" s="122" t="s">
        <v>79</v>
      </c>
      <c r="D23" s="122" t="s">
        <v>322</v>
      </c>
      <c r="E23" s="124" t="s">
        <v>118</v>
      </c>
      <c r="F23" s="122" t="s">
        <v>153</v>
      </c>
      <c r="G23" s="122" t="s">
        <v>190</v>
      </c>
      <c r="H23" s="122" t="s">
        <v>326</v>
      </c>
      <c r="I23" s="126" t="s">
        <v>348</v>
      </c>
      <c r="J23" s="122" t="s">
        <v>339</v>
      </c>
      <c r="K23" s="122" t="s">
        <v>194</v>
      </c>
      <c r="L23" s="122" t="s">
        <v>192</v>
      </c>
    </row>
    <row r="24" spans="1:12" ht="24" customHeight="1" x14ac:dyDescent="0.2">
      <c r="A24" s="122" t="s">
        <v>115</v>
      </c>
      <c r="B24" s="122" t="s">
        <v>103</v>
      </c>
      <c r="C24" s="122" t="s">
        <v>79</v>
      </c>
      <c r="D24" s="122" t="s">
        <v>322</v>
      </c>
      <c r="E24" s="124" t="s">
        <v>118</v>
      </c>
      <c r="F24" s="122" t="s">
        <v>153</v>
      </c>
      <c r="G24" s="122" t="s">
        <v>190</v>
      </c>
      <c r="H24" s="122" t="s">
        <v>326</v>
      </c>
      <c r="I24" s="126" t="s">
        <v>348</v>
      </c>
      <c r="J24" s="122" t="s">
        <v>339</v>
      </c>
      <c r="K24" s="122" t="s">
        <v>191</v>
      </c>
      <c r="L24" s="122" t="s">
        <v>189</v>
      </c>
    </row>
    <row r="25" spans="1:12" ht="24" customHeight="1" x14ac:dyDescent="0.2">
      <c r="A25" s="122" t="s">
        <v>31</v>
      </c>
      <c r="B25" s="122" t="s">
        <v>103</v>
      </c>
      <c r="C25" s="122" t="s">
        <v>79</v>
      </c>
      <c r="D25" s="122" t="s">
        <v>131</v>
      </c>
      <c r="E25" s="124">
        <v>1099</v>
      </c>
      <c r="F25" s="122" t="s">
        <v>153</v>
      </c>
      <c r="G25" s="122" t="s">
        <v>193</v>
      </c>
      <c r="H25" s="122" t="s">
        <v>135</v>
      </c>
      <c r="I25" s="127" t="s">
        <v>349</v>
      </c>
      <c r="J25" s="122" t="s">
        <v>339</v>
      </c>
      <c r="K25" s="122" t="s">
        <v>196</v>
      </c>
      <c r="L25" s="122" t="s">
        <v>195</v>
      </c>
    </row>
    <row r="26" spans="1:12" ht="24" customHeight="1" x14ac:dyDescent="0.2">
      <c r="A26" s="123" t="s">
        <v>117</v>
      </c>
      <c r="B26" s="122" t="s">
        <v>103</v>
      </c>
      <c r="C26" s="122" t="s">
        <v>251</v>
      </c>
      <c r="D26" s="122" t="s">
        <v>352</v>
      </c>
      <c r="E26" s="124" t="s">
        <v>118</v>
      </c>
      <c r="F26" s="122" t="s">
        <v>153</v>
      </c>
      <c r="G26" s="122" t="s">
        <v>255</v>
      </c>
      <c r="H26" s="122" t="s">
        <v>325</v>
      </c>
      <c r="I26" s="126" t="s">
        <v>342</v>
      </c>
      <c r="J26" s="122" t="s">
        <v>339</v>
      </c>
      <c r="K26" s="122" t="s">
        <v>256</v>
      </c>
      <c r="L26" s="122" t="s">
        <v>254</v>
      </c>
    </row>
    <row r="27" spans="1:12" ht="24" customHeight="1" x14ac:dyDescent="0.2">
      <c r="A27" s="123" t="s">
        <v>116</v>
      </c>
      <c r="B27" s="122" t="s">
        <v>103</v>
      </c>
      <c r="C27" s="122" t="s">
        <v>258</v>
      </c>
      <c r="D27" s="122" t="s">
        <v>352</v>
      </c>
      <c r="E27" s="124" t="s">
        <v>118</v>
      </c>
      <c r="F27" s="122" t="s">
        <v>153</v>
      </c>
      <c r="G27" s="122" t="s">
        <v>259</v>
      </c>
      <c r="H27" s="122" t="s">
        <v>325</v>
      </c>
      <c r="I27" s="126" t="s">
        <v>342</v>
      </c>
      <c r="J27" s="122" t="s">
        <v>339</v>
      </c>
      <c r="K27" s="122" t="s">
        <v>260</v>
      </c>
      <c r="L27" s="122" t="s">
        <v>257</v>
      </c>
    </row>
    <row r="28" spans="1:12" ht="24" customHeight="1" x14ac:dyDescent="0.2">
      <c r="A28" s="122" t="s">
        <v>324</v>
      </c>
      <c r="B28" s="122" t="s">
        <v>103</v>
      </c>
      <c r="C28" s="122" t="s">
        <v>330</v>
      </c>
      <c r="D28" s="122" t="s">
        <v>131</v>
      </c>
      <c r="E28" s="124">
        <v>1099</v>
      </c>
      <c r="F28" s="122" t="s">
        <v>153</v>
      </c>
      <c r="G28" s="122" t="s">
        <v>218</v>
      </c>
      <c r="H28" s="122" t="s">
        <v>135</v>
      </c>
      <c r="I28" s="127" t="s">
        <v>349</v>
      </c>
      <c r="J28" s="122" t="s">
        <v>339</v>
      </c>
      <c r="K28" s="122" t="s">
        <v>219</v>
      </c>
      <c r="L28" s="122" t="s">
        <v>217</v>
      </c>
    </row>
    <row r="29" spans="1:12" ht="24" customHeight="1" x14ac:dyDescent="0.2">
      <c r="A29" s="122" t="s">
        <v>62</v>
      </c>
      <c r="B29" s="122" t="s">
        <v>103</v>
      </c>
      <c r="C29" s="122" t="s">
        <v>206</v>
      </c>
      <c r="D29" s="122" t="s">
        <v>322</v>
      </c>
      <c r="E29" s="124" t="s">
        <v>118</v>
      </c>
      <c r="F29" s="122" t="s">
        <v>153</v>
      </c>
      <c r="G29" s="122" t="s">
        <v>207</v>
      </c>
      <c r="H29" s="122" t="s">
        <v>326</v>
      </c>
      <c r="I29" s="127" t="s">
        <v>349</v>
      </c>
      <c r="J29" s="122" t="s">
        <v>339</v>
      </c>
      <c r="K29" s="122" t="s">
        <v>208</v>
      </c>
      <c r="L29" s="122" t="s">
        <v>205</v>
      </c>
    </row>
    <row r="30" spans="1:12" ht="24" customHeight="1" x14ac:dyDescent="0.2">
      <c r="A30" s="122" t="s">
        <v>32</v>
      </c>
      <c r="B30" s="122" t="s">
        <v>103</v>
      </c>
      <c r="C30" s="122" t="s">
        <v>79</v>
      </c>
      <c r="D30" s="122" t="s">
        <v>131</v>
      </c>
      <c r="E30" s="124">
        <v>1099</v>
      </c>
      <c r="F30" s="122" t="s">
        <v>153</v>
      </c>
      <c r="G30" s="122" t="s">
        <v>193</v>
      </c>
      <c r="H30" s="122" t="s">
        <v>135</v>
      </c>
      <c r="I30" s="127" t="s">
        <v>349</v>
      </c>
      <c r="J30" s="122" t="s">
        <v>339</v>
      </c>
      <c r="K30" s="122" t="s">
        <v>196</v>
      </c>
      <c r="L30" s="122" t="s">
        <v>197</v>
      </c>
    </row>
    <row r="31" spans="1:12" ht="24" customHeight="1" x14ac:dyDescent="0.2">
      <c r="A31" s="123" t="s">
        <v>109</v>
      </c>
      <c r="B31" s="122" t="s">
        <v>103</v>
      </c>
      <c r="C31" s="122" t="s">
        <v>269</v>
      </c>
      <c r="D31" s="122" t="s">
        <v>352</v>
      </c>
      <c r="E31" s="124" t="s">
        <v>118</v>
      </c>
      <c r="F31" s="122" t="s">
        <v>153</v>
      </c>
      <c r="G31" s="122" t="s">
        <v>270</v>
      </c>
      <c r="H31" s="122" t="s">
        <v>325</v>
      </c>
      <c r="I31" s="126" t="s">
        <v>342</v>
      </c>
      <c r="J31" s="122" t="s">
        <v>339</v>
      </c>
      <c r="K31" s="122" t="s">
        <v>271</v>
      </c>
      <c r="L31" s="122" t="s">
        <v>268</v>
      </c>
    </row>
    <row r="32" spans="1:12" ht="24" customHeight="1" x14ac:dyDescent="0.2">
      <c r="A32" s="123" t="s">
        <v>123</v>
      </c>
      <c r="B32" s="122" t="s">
        <v>103</v>
      </c>
      <c r="C32" s="122" t="s">
        <v>289</v>
      </c>
      <c r="D32" s="122" t="s">
        <v>352</v>
      </c>
      <c r="E32" s="124" t="s">
        <v>118</v>
      </c>
      <c r="F32" s="122" t="s">
        <v>153</v>
      </c>
      <c r="G32" s="122" t="s">
        <v>290</v>
      </c>
      <c r="H32" s="122" t="s">
        <v>325</v>
      </c>
      <c r="I32" s="127" t="s">
        <v>349</v>
      </c>
      <c r="J32" s="122" t="s">
        <v>339</v>
      </c>
      <c r="K32" s="122" t="s">
        <v>291</v>
      </c>
      <c r="L32" s="122" t="s">
        <v>288</v>
      </c>
    </row>
    <row r="33" spans="1:12" ht="24" customHeight="1" x14ac:dyDescent="0.2">
      <c r="A33" s="122" t="s">
        <v>64</v>
      </c>
      <c r="B33" s="122" t="s">
        <v>103</v>
      </c>
      <c r="C33" s="122" t="s">
        <v>203</v>
      </c>
      <c r="D33" s="122" t="s">
        <v>142</v>
      </c>
      <c r="E33" s="124">
        <v>1099</v>
      </c>
      <c r="F33" s="122" t="s">
        <v>204</v>
      </c>
      <c r="G33" s="122" t="s">
        <v>200</v>
      </c>
      <c r="H33" s="122" t="s">
        <v>135</v>
      </c>
      <c r="I33" s="127" t="s">
        <v>349</v>
      </c>
      <c r="J33" s="122" t="s">
        <v>339</v>
      </c>
      <c r="K33" s="122" t="s">
        <v>201</v>
      </c>
      <c r="L33" s="122" t="s">
        <v>202</v>
      </c>
    </row>
    <row r="34" spans="1:12" ht="24" customHeight="1" x14ac:dyDescent="0.2">
      <c r="A34" s="123" t="s">
        <v>111</v>
      </c>
      <c r="B34" s="122" t="s">
        <v>103</v>
      </c>
      <c r="C34" s="122" t="s">
        <v>282</v>
      </c>
      <c r="D34" s="122" t="s">
        <v>352</v>
      </c>
      <c r="E34" s="124" t="s">
        <v>118</v>
      </c>
      <c r="F34" s="122" t="s">
        <v>133</v>
      </c>
      <c r="G34" s="122" t="s">
        <v>283</v>
      </c>
      <c r="H34" s="122" t="s">
        <v>325</v>
      </c>
      <c r="I34" s="126" t="s">
        <v>342</v>
      </c>
      <c r="J34" s="122" t="s">
        <v>339</v>
      </c>
      <c r="K34" s="122" t="s">
        <v>284</v>
      </c>
      <c r="L34" s="122" t="s">
        <v>281</v>
      </c>
    </row>
    <row r="35" spans="1:12" ht="24" customHeight="1" x14ac:dyDescent="0.2">
      <c r="A35" s="122" t="s">
        <v>343</v>
      </c>
      <c r="B35" s="122" t="s">
        <v>103</v>
      </c>
      <c r="C35" s="122" t="s">
        <v>186</v>
      </c>
      <c r="D35" s="122" t="s">
        <v>137</v>
      </c>
      <c r="E35" s="124">
        <v>1099</v>
      </c>
      <c r="F35" s="122" t="s">
        <v>133</v>
      </c>
      <c r="G35" s="122" t="s">
        <v>187</v>
      </c>
      <c r="H35" s="122" t="s">
        <v>135</v>
      </c>
      <c r="I35" s="126" t="s">
        <v>347</v>
      </c>
      <c r="J35" s="122" t="s">
        <v>339</v>
      </c>
      <c r="K35" s="122" t="s">
        <v>188</v>
      </c>
      <c r="L35" s="122" t="s">
        <v>345</v>
      </c>
    </row>
    <row r="36" spans="1:12" ht="24" customHeight="1" x14ac:dyDescent="0.2">
      <c r="A36" s="122" t="s">
        <v>113</v>
      </c>
      <c r="B36" s="122" t="s">
        <v>103</v>
      </c>
      <c r="C36" s="122" t="s">
        <v>311</v>
      </c>
      <c r="D36" s="122" t="s">
        <v>352</v>
      </c>
      <c r="E36" s="124" t="s">
        <v>118</v>
      </c>
      <c r="F36" s="122" t="s">
        <v>133</v>
      </c>
      <c r="G36" s="122" t="s">
        <v>252</v>
      </c>
      <c r="H36" s="122" t="s">
        <v>325</v>
      </c>
      <c r="I36" s="126" t="s">
        <v>342</v>
      </c>
      <c r="J36" s="122" t="s">
        <v>339</v>
      </c>
      <c r="K36" s="122" t="s">
        <v>312</v>
      </c>
      <c r="L36" s="122" t="s">
        <v>310</v>
      </c>
    </row>
    <row r="37" spans="1:12" ht="24" customHeight="1" x14ac:dyDescent="0.2">
      <c r="A37" s="122" t="s">
        <v>114</v>
      </c>
      <c r="B37" s="122" t="s">
        <v>103</v>
      </c>
      <c r="C37" s="122" t="s">
        <v>314</v>
      </c>
      <c r="D37" s="122" t="s">
        <v>352</v>
      </c>
      <c r="E37" s="124" t="s">
        <v>118</v>
      </c>
      <c r="F37" s="122" t="s">
        <v>133</v>
      </c>
      <c r="G37" s="122" t="s">
        <v>252</v>
      </c>
      <c r="H37" s="122" t="s">
        <v>325</v>
      </c>
      <c r="I37" s="126" t="s">
        <v>342</v>
      </c>
      <c r="J37" s="122" t="s">
        <v>339</v>
      </c>
      <c r="K37" s="122" t="s">
        <v>315</v>
      </c>
      <c r="L37" s="122" t="s">
        <v>313</v>
      </c>
    </row>
    <row r="38" spans="1:12" ht="24" customHeight="1" x14ac:dyDescent="0.2">
      <c r="A38" s="122" t="s">
        <v>34</v>
      </c>
      <c r="B38" s="122" t="s">
        <v>103</v>
      </c>
      <c r="C38" s="122" t="s">
        <v>199</v>
      </c>
      <c r="D38" s="122" t="s">
        <v>142</v>
      </c>
      <c r="E38" s="124">
        <v>1099</v>
      </c>
      <c r="F38" s="122" t="s">
        <v>133</v>
      </c>
      <c r="G38" s="122" t="s">
        <v>200</v>
      </c>
      <c r="H38" s="122" t="s">
        <v>135</v>
      </c>
      <c r="I38" s="127" t="s">
        <v>349</v>
      </c>
      <c r="J38" s="122" t="s">
        <v>339</v>
      </c>
      <c r="K38" s="122" t="s">
        <v>201</v>
      </c>
      <c r="L38" s="122" t="s">
        <v>198</v>
      </c>
    </row>
    <row r="39" spans="1:12" ht="24" customHeight="1" x14ac:dyDescent="0.2">
      <c r="A39" s="122" t="s">
        <v>120</v>
      </c>
      <c r="B39" s="122" t="s">
        <v>103</v>
      </c>
      <c r="C39" s="122" t="s">
        <v>186</v>
      </c>
      <c r="D39" s="122" t="s">
        <v>137</v>
      </c>
      <c r="E39" s="124">
        <v>1099</v>
      </c>
      <c r="F39" s="122" t="s">
        <v>133</v>
      </c>
      <c r="G39" s="122" t="s">
        <v>187</v>
      </c>
      <c r="H39" s="122" t="s">
        <v>135</v>
      </c>
      <c r="I39" s="126" t="s">
        <v>347</v>
      </c>
      <c r="J39" s="122" t="s">
        <v>339</v>
      </c>
      <c r="K39" s="122" t="s">
        <v>188</v>
      </c>
      <c r="L39" s="122" t="s">
        <v>185</v>
      </c>
    </row>
    <row r="40" spans="1:12" ht="24" customHeight="1" x14ac:dyDescent="0.2">
      <c r="A40" s="122" t="s">
        <v>36</v>
      </c>
      <c r="B40" s="122" t="s">
        <v>103</v>
      </c>
      <c r="C40" s="122" t="s">
        <v>221</v>
      </c>
      <c r="D40" s="122" t="s">
        <v>137</v>
      </c>
      <c r="E40" s="124">
        <v>1099</v>
      </c>
      <c r="F40" s="122" t="s">
        <v>133</v>
      </c>
      <c r="G40" s="122" t="s">
        <v>222</v>
      </c>
      <c r="H40" s="122" t="s">
        <v>135</v>
      </c>
      <c r="I40" s="127" t="s">
        <v>349</v>
      </c>
      <c r="J40" s="122" t="s">
        <v>339</v>
      </c>
      <c r="K40" s="122" t="s">
        <v>223</v>
      </c>
      <c r="L40" s="122" t="s">
        <v>220</v>
      </c>
    </row>
    <row r="41" spans="1:12" ht="24" customHeight="1" x14ac:dyDescent="0.2">
      <c r="A41" s="122" t="s">
        <v>127</v>
      </c>
      <c r="B41" s="122" t="s">
        <v>103</v>
      </c>
      <c r="C41" s="122" t="s">
        <v>304</v>
      </c>
      <c r="D41" s="122" t="s">
        <v>352</v>
      </c>
      <c r="E41" s="124" t="s">
        <v>118</v>
      </c>
      <c r="F41" s="122" t="s">
        <v>133</v>
      </c>
      <c r="G41" s="122" t="s">
        <v>305</v>
      </c>
      <c r="H41" s="122" t="s">
        <v>325</v>
      </c>
      <c r="I41" s="126" t="s">
        <v>342</v>
      </c>
      <c r="J41" s="122" t="s">
        <v>339</v>
      </c>
      <c r="K41" s="122" t="s">
        <v>306</v>
      </c>
      <c r="L41" s="122" t="s">
        <v>303</v>
      </c>
    </row>
    <row r="42" spans="1:12" ht="24" customHeight="1" x14ac:dyDescent="0.2">
      <c r="A42" s="122" t="s">
        <v>344</v>
      </c>
      <c r="B42" s="122" t="s">
        <v>103</v>
      </c>
      <c r="C42" s="122" t="s">
        <v>186</v>
      </c>
      <c r="D42" s="122" t="s">
        <v>137</v>
      </c>
      <c r="E42" s="124">
        <v>1099</v>
      </c>
      <c r="F42" s="122" t="s">
        <v>133</v>
      </c>
      <c r="G42" s="122" t="s">
        <v>187</v>
      </c>
      <c r="H42" s="122" t="s">
        <v>135</v>
      </c>
      <c r="I42" s="126" t="s">
        <v>347</v>
      </c>
      <c r="J42" s="122" t="s">
        <v>339</v>
      </c>
      <c r="K42" s="122" t="s">
        <v>188</v>
      </c>
      <c r="L42" s="122" t="s">
        <v>346</v>
      </c>
    </row>
    <row r="43" spans="1:12" ht="24" customHeight="1" x14ac:dyDescent="0.2">
      <c r="A43" s="123" t="s">
        <v>122</v>
      </c>
      <c r="B43" s="122" t="s">
        <v>103</v>
      </c>
      <c r="C43" s="122" t="s">
        <v>160</v>
      </c>
      <c r="D43" s="122" t="s">
        <v>352</v>
      </c>
      <c r="E43" s="124" t="s">
        <v>118</v>
      </c>
      <c r="F43" s="122" t="s">
        <v>232</v>
      </c>
      <c r="G43" s="122" t="s">
        <v>286</v>
      </c>
      <c r="H43" s="122" t="s">
        <v>325</v>
      </c>
      <c r="I43" s="126" t="s">
        <v>342</v>
      </c>
      <c r="J43" s="122" t="s">
        <v>339</v>
      </c>
      <c r="K43" s="122" t="s">
        <v>287</v>
      </c>
      <c r="L43" s="122" t="s">
        <v>285</v>
      </c>
    </row>
    <row r="44" spans="1:12" ht="24" customHeight="1" x14ac:dyDescent="0.2">
      <c r="A44" s="122" t="s">
        <v>22</v>
      </c>
      <c r="B44" s="122" t="s">
        <v>102</v>
      </c>
      <c r="C44" s="122" t="s">
        <v>175</v>
      </c>
      <c r="D44" s="122" t="s">
        <v>171</v>
      </c>
      <c r="E44" s="124" t="s">
        <v>118</v>
      </c>
      <c r="F44" s="122" t="s">
        <v>176</v>
      </c>
      <c r="G44" s="122" t="s">
        <v>177</v>
      </c>
      <c r="H44" s="122" t="s">
        <v>327</v>
      </c>
      <c r="I44" s="127" t="s">
        <v>349</v>
      </c>
      <c r="J44" s="122" t="s">
        <v>339</v>
      </c>
      <c r="K44" s="122" t="s">
        <v>178</v>
      </c>
      <c r="L44" s="122" t="s">
        <v>174</v>
      </c>
    </row>
    <row r="45" spans="1:12" ht="24" customHeight="1" x14ac:dyDescent="0.2">
      <c r="A45" s="122" t="s">
        <v>18</v>
      </c>
      <c r="B45" s="122" t="s">
        <v>102</v>
      </c>
      <c r="C45" s="122" t="s">
        <v>152</v>
      </c>
      <c r="D45" s="122" t="s">
        <v>151</v>
      </c>
      <c r="E45" s="124">
        <v>1099</v>
      </c>
      <c r="F45" s="122" t="s">
        <v>153</v>
      </c>
      <c r="G45" s="122" t="s">
        <v>154</v>
      </c>
      <c r="H45" s="122" t="s">
        <v>327</v>
      </c>
      <c r="I45" s="127" t="s">
        <v>349</v>
      </c>
      <c r="J45" s="122" t="s">
        <v>339</v>
      </c>
      <c r="K45" s="122" t="s">
        <v>155</v>
      </c>
      <c r="L45" s="122" t="s">
        <v>150</v>
      </c>
    </row>
    <row r="46" spans="1:12" ht="24" customHeight="1" x14ac:dyDescent="0.2">
      <c r="A46" s="122" t="s">
        <v>128</v>
      </c>
      <c r="B46" s="122" t="s">
        <v>102</v>
      </c>
      <c r="C46" s="122" t="s">
        <v>20</v>
      </c>
      <c r="D46" s="122" t="s">
        <v>171</v>
      </c>
      <c r="E46" s="124" t="s">
        <v>118</v>
      </c>
      <c r="F46" s="122" t="s">
        <v>153</v>
      </c>
      <c r="G46" s="122" t="s">
        <v>179</v>
      </c>
      <c r="H46" s="122" t="s">
        <v>165</v>
      </c>
      <c r="I46" s="127" t="s">
        <v>349</v>
      </c>
      <c r="J46" s="122" t="s">
        <v>339</v>
      </c>
      <c r="K46" s="122" t="s">
        <v>180</v>
      </c>
      <c r="L46" s="122" t="s">
        <v>328</v>
      </c>
    </row>
    <row r="47" spans="1:12" ht="24" customHeight="1" x14ac:dyDescent="0.2">
      <c r="A47" s="122" t="s">
        <v>66</v>
      </c>
      <c r="B47" s="122" t="s">
        <v>102</v>
      </c>
      <c r="C47" s="122" t="s">
        <v>182</v>
      </c>
      <c r="D47" s="122" t="s">
        <v>171</v>
      </c>
      <c r="E47" s="124">
        <v>1099</v>
      </c>
      <c r="F47" s="122" t="s">
        <v>153</v>
      </c>
      <c r="G47" s="122" t="s">
        <v>183</v>
      </c>
      <c r="H47" s="122" t="s">
        <v>327</v>
      </c>
      <c r="I47" s="127" t="s">
        <v>349</v>
      </c>
      <c r="J47" s="122" t="s">
        <v>339</v>
      </c>
      <c r="K47" s="122" t="s">
        <v>184</v>
      </c>
      <c r="L47" s="122" t="s">
        <v>181</v>
      </c>
    </row>
    <row r="48" spans="1:12" ht="24" customHeight="1" x14ac:dyDescent="0.2">
      <c r="A48" s="122" t="s">
        <v>19</v>
      </c>
      <c r="B48" s="122" t="s">
        <v>102</v>
      </c>
      <c r="C48" s="122" t="s">
        <v>157</v>
      </c>
      <c r="D48" s="122" t="s">
        <v>151</v>
      </c>
      <c r="E48" s="124" t="s">
        <v>118</v>
      </c>
      <c r="F48" s="122" t="s">
        <v>153</v>
      </c>
      <c r="G48" s="122" t="s">
        <v>329</v>
      </c>
      <c r="H48" s="122" t="s">
        <v>165</v>
      </c>
      <c r="I48" s="127" t="s">
        <v>349</v>
      </c>
      <c r="J48" s="122" t="s">
        <v>339</v>
      </c>
      <c r="K48" s="122" t="s">
        <v>155</v>
      </c>
      <c r="L48" s="122" t="s">
        <v>156</v>
      </c>
    </row>
    <row r="49" spans="1:12" ht="24" customHeight="1" x14ac:dyDescent="0.2">
      <c r="A49" s="122" t="s">
        <v>129</v>
      </c>
      <c r="B49" s="122" t="s">
        <v>102</v>
      </c>
      <c r="C49" s="122" t="s">
        <v>147</v>
      </c>
      <c r="D49" s="122" t="s">
        <v>146</v>
      </c>
      <c r="E49" s="124" t="s">
        <v>118</v>
      </c>
      <c r="F49" s="122" t="s">
        <v>133</v>
      </c>
      <c r="G49" s="122" t="s">
        <v>148</v>
      </c>
      <c r="H49" s="122" t="s">
        <v>165</v>
      </c>
      <c r="I49" s="127" t="s">
        <v>349</v>
      </c>
      <c r="J49" s="122" t="s">
        <v>339</v>
      </c>
      <c r="K49" s="122" t="s">
        <v>149</v>
      </c>
      <c r="L49" s="122" t="s">
        <v>145</v>
      </c>
    </row>
    <row r="50" spans="1:12" ht="24" customHeight="1" x14ac:dyDescent="0.2">
      <c r="A50" s="122" t="s">
        <v>24</v>
      </c>
      <c r="B50" s="122" t="s">
        <v>102</v>
      </c>
      <c r="C50" s="122" t="s">
        <v>160</v>
      </c>
      <c r="D50" s="122" t="s">
        <v>159</v>
      </c>
      <c r="E50" s="124" t="s">
        <v>118</v>
      </c>
      <c r="F50" s="122" t="s">
        <v>133</v>
      </c>
      <c r="G50" s="122" t="s">
        <v>161</v>
      </c>
      <c r="H50" s="122" t="s">
        <v>165</v>
      </c>
      <c r="I50" s="127" t="s">
        <v>349</v>
      </c>
      <c r="J50" s="122" t="s">
        <v>339</v>
      </c>
      <c r="K50" s="122" t="s">
        <v>162</v>
      </c>
      <c r="L50" s="122" t="s">
        <v>158</v>
      </c>
    </row>
    <row r="51" spans="1:12" ht="24" customHeight="1" x14ac:dyDescent="0.2">
      <c r="A51" s="122" t="s">
        <v>21</v>
      </c>
      <c r="B51" s="122" t="s">
        <v>102</v>
      </c>
      <c r="C51" s="122" t="s">
        <v>20</v>
      </c>
      <c r="D51" s="122" t="s">
        <v>171</v>
      </c>
      <c r="E51" s="124" t="s">
        <v>118</v>
      </c>
      <c r="F51" s="122" t="s">
        <v>133</v>
      </c>
      <c r="G51" s="122" t="s">
        <v>172</v>
      </c>
      <c r="H51" s="122" t="s">
        <v>327</v>
      </c>
      <c r="I51" s="127" t="s">
        <v>349</v>
      </c>
      <c r="J51" s="122" t="s">
        <v>339</v>
      </c>
      <c r="K51" s="122" t="s">
        <v>173</v>
      </c>
      <c r="L51" s="122" t="s">
        <v>170</v>
      </c>
    </row>
    <row r="52" spans="1:12" ht="24" customHeight="1" x14ac:dyDescent="0.2">
      <c r="A52" s="122" t="s">
        <v>351</v>
      </c>
      <c r="B52" s="122" t="s">
        <v>102</v>
      </c>
      <c r="C52" s="122" t="s">
        <v>167</v>
      </c>
      <c r="D52" s="122" t="s">
        <v>151</v>
      </c>
      <c r="E52" s="124">
        <v>1099</v>
      </c>
      <c r="F52" s="122" t="s">
        <v>133</v>
      </c>
      <c r="G52" s="122" t="s">
        <v>168</v>
      </c>
      <c r="H52" s="122" t="s">
        <v>327</v>
      </c>
      <c r="I52" s="127" t="s">
        <v>349</v>
      </c>
      <c r="J52" s="122" t="s">
        <v>339</v>
      </c>
      <c r="K52" s="122" t="s">
        <v>169</v>
      </c>
      <c r="L52" s="122" t="s">
        <v>166</v>
      </c>
    </row>
    <row r="53" spans="1:12" ht="24" customHeight="1" x14ac:dyDescent="0.2">
      <c r="A53" s="122" t="s">
        <v>16</v>
      </c>
      <c r="B53" s="122" t="s">
        <v>102</v>
      </c>
      <c r="C53" s="122" t="s">
        <v>147</v>
      </c>
      <c r="D53" s="122" t="s">
        <v>146</v>
      </c>
      <c r="E53" s="124" t="s">
        <v>118</v>
      </c>
      <c r="F53" s="122" t="s">
        <v>133</v>
      </c>
      <c r="G53" s="122" t="s">
        <v>164</v>
      </c>
      <c r="H53" s="122" t="s">
        <v>165</v>
      </c>
      <c r="I53" s="127" t="s">
        <v>349</v>
      </c>
      <c r="J53" s="122" t="s">
        <v>339</v>
      </c>
      <c r="K53" s="122" t="s">
        <v>149</v>
      </c>
      <c r="L53" s="122" t="s">
        <v>163</v>
      </c>
    </row>
  </sheetData>
  <autoFilter ref="A1:L53" xr:uid="{13497E3F-2498-4B3E-9736-09F15B226D3F}">
    <sortState xmlns:xlrd2="http://schemas.microsoft.com/office/spreadsheetml/2017/richdata2" ref="A2:L53">
      <sortCondition descending="1" ref="B1:B53"/>
    </sortState>
  </autoFilter>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DDAD-FDEB-4449-B0EB-DE768A5DEFE6}">
  <dimension ref="B2:AD59"/>
  <sheetViews>
    <sheetView showGridLines="0" zoomScaleNormal="100" workbookViewId="0">
      <selection activeCell="D20" sqref="D20"/>
    </sheetView>
  </sheetViews>
  <sheetFormatPr defaultRowHeight="12.75" x14ac:dyDescent="0.2"/>
  <cols>
    <col min="1" max="1" width="2" style="12" customWidth="1"/>
    <col min="2" max="2" width="14.5" style="57" customWidth="1"/>
    <col min="3" max="3" width="1.625" style="12" customWidth="1"/>
    <col min="4" max="4" width="30.25" style="12" customWidth="1"/>
    <col min="5" max="5" width="1.5" style="12" hidden="1" customWidth="1"/>
    <col min="6" max="6" width="0.875" style="12" customWidth="1"/>
    <col min="7" max="7" width="7.5" style="54" customWidth="1"/>
    <col min="8" max="8" width="3.375" style="12" hidden="1" customWidth="1"/>
    <col min="9" max="9" width="1.125" style="19" customWidth="1"/>
    <col min="10" max="10" width="34.875" style="12" customWidth="1"/>
    <col min="11" max="11" width="3.5" style="12" hidden="1" customWidth="1"/>
    <col min="12" max="12" width="0.75" style="12" customWidth="1"/>
    <col min="13" max="13" width="6.875" style="54" customWidth="1"/>
    <col min="14" max="14" width="0.375" style="12" customWidth="1"/>
    <col min="15" max="15" width="1" style="19" customWidth="1"/>
    <col min="16" max="16" width="35.875" style="12" customWidth="1"/>
    <col min="17" max="18" width="3.375" style="12" hidden="1" customWidth="1"/>
    <col min="19" max="19" width="7.375" style="54" customWidth="1"/>
    <col min="20" max="20" width="2.875" style="12" hidden="1" customWidth="1"/>
    <col min="21" max="21" width="1" style="19" customWidth="1"/>
    <col min="22" max="22" width="32.875" style="12" customWidth="1"/>
    <col min="23" max="23" width="2.5" style="12" hidden="1" customWidth="1"/>
    <col min="24" max="24" width="3.875" style="12" customWidth="1"/>
    <col min="25" max="25" width="7" style="54" customWidth="1"/>
    <col min="26" max="28" width="4.875" style="12" customWidth="1"/>
    <col min="29" max="16384" width="9" style="12"/>
  </cols>
  <sheetData>
    <row r="2" spans="2:27" x14ac:dyDescent="0.2">
      <c r="B2" s="1"/>
      <c r="C2" s="2"/>
      <c r="D2" s="78" t="s">
        <v>1</v>
      </c>
      <c r="E2" s="78"/>
      <c r="F2" s="78"/>
      <c r="G2" s="79"/>
      <c r="H2" s="78"/>
      <c r="I2" s="80"/>
      <c r="J2" s="81" t="s">
        <v>5</v>
      </c>
      <c r="K2" s="78"/>
      <c r="L2" s="78"/>
      <c r="M2" s="79"/>
      <c r="N2" s="78"/>
      <c r="O2" s="82"/>
      <c r="P2" s="83" t="s">
        <v>2</v>
      </c>
      <c r="Q2" s="78"/>
      <c r="R2" s="78"/>
      <c r="S2" s="79"/>
      <c r="T2" s="83"/>
      <c r="U2" s="84"/>
      <c r="V2" s="85" t="s">
        <v>3</v>
      </c>
      <c r="W2" s="2"/>
      <c r="X2" s="2"/>
      <c r="Y2" s="11"/>
    </row>
    <row r="3" spans="2:27" s="17" customFormat="1" x14ac:dyDescent="0.2">
      <c r="B3" s="13" t="s">
        <v>6</v>
      </c>
      <c r="C3" s="14"/>
      <c r="D3" s="14"/>
      <c r="E3" s="14"/>
      <c r="F3" s="14"/>
      <c r="G3" s="115">
        <f>SUM(G4:H6)</f>
        <v>0.2</v>
      </c>
      <c r="H3" s="14"/>
      <c r="I3" s="16"/>
      <c r="J3" s="14"/>
      <c r="K3" s="14"/>
      <c r="L3" s="14"/>
      <c r="M3" s="115">
        <f>SUM(M4:M6)</f>
        <v>0.2</v>
      </c>
      <c r="N3" s="14"/>
      <c r="O3" s="16"/>
      <c r="P3" s="14"/>
      <c r="Q3" s="14"/>
      <c r="R3" s="14"/>
      <c r="S3" s="115">
        <f>SUM(S4:T6)</f>
        <v>0.2</v>
      </c>
      <c r="T3" s="14"/>
      <c r="U3" s="16"/>
      <c r="V3" s="14"/>
      <c r="W3" s="14"/>
      <c r="X3" s="14"/>
      <c r="Y3" s="115">
        <f>SUM(Y4:Y6)</f>
        <v>0.25</v>
      </c>
    </row>
    <row r="4" spans="2:27" s="19" customFormat="1" x14ac:dyDescent="0.2">
      <c r="B4" s="18" t="s">
        <v>7</v>
      </c>
      <c r="D4" s="20" t="s">
        <v>8</v>
      </c>
      <c r="E4" s="20"/>
      <c r="F4" s="20"/>
      <c r="G4" s="21">
        <v>5.0000000000000001E-3</v>
      </c>
      <c r="H4" s="20"/>
      <c r="J4" s="22" t="s">
        <v>9</v>
      </c>
      <c r="K4" s="20"/>
      <c r="L4" s="20"/>
      <c r="M4" s="21">
        <v>5.0000000000000001E-3</v>
      </c>
      <c r="N4" s="20"/>
      <c r="P4" s="22" t="s">
        <v>8</v>
      </c>
      <c r="Q4" s="23"/>
      <c r="R4" s="23"/>
      <c r="S4" s="24">
        <v>5.0000000000000001E-3</v>
      </c>
      <c r="T4" s="20"/>
      <c r="V4" s="20" t="s">
        <v>9</v>
      </c>
      <c r="Y4" s="21">
        <v>5.0000000000000001E-3</v>
      </c>
      <c r="Z4" s="20"/>
      <c r="AA4" s="20"/>
    </row>
    <row r="5" spans="2:27" s="19" customFormat="1" x14ac:dyDescent="0.2">
      <c r="B5" s="18" t="s">
        <v>10</v>
      </c>
      <c r="D5" s="20" t="s">
        <v>11</v>
      </c>
      <c r="E5" s="20"/>
      <c r="F5" s="20"/>
      <c r="G5" s="21">
        <v>0.19500000000000001</v>
      </c>
      <c r="H5" s="20"/>
      <c r="J5" s="22" t="s">
        <v>11</v>
      </c>
      <c r="K5" s="20"/>
      <c r="L5" s="20"/>
      <c r="M5" s="21">
        <v>0.19500000000000001</v>
      </c>
      <c r="N5" s="20"/>
      <c r="O5" s="20"/>
      <c r="P5" s="22" t="s">
        <v>12</v>
      </c>
      <c r="Q5" s="20"/>
      <c r="R5" s="20"/>
      <c r="S5" s="21">
        <v>0.14499999999999999</v>
      </c>
      <c r="T5" s="20"/>
      <c r="U5" s="20"/>
      <c r="V5" s="20" t="s">
        <v>13</v>
      </c>
      <c r="Y5" s="21">
        <v>0.245</v>
      </c>
      <c r="Z5" s="20"/>
      <c r="AA5" s="20"/>
    </row>
    <row r="6" spans="2:27" s="19" customFormat="1" x14ac:dyDescent="0.2">
      <c r="B6" s="18"/>
      <c r="D6" s="20"/>
      <c r="E6" s="20"/>
      <c r="F6" s="20"/>
      <c r="G6" s="21"/>
      <c r="H6" s="20"/>
      <c r="J6" s="22"/>
      <c r="K6" s="20"/>
      <c r="L6" s="20"/>
      <c r="M6" s="21"/>
      <c r="N6" s="20"/>
      <c r="O6" s="20"/>
      <c r="P6" s="22" t="s">
        <v>65</v>
      </c>
      <c r="Q6" s="20"/>
      <c r="R6" s="20"/>
      <c r="S6" s="21">
        <v>0.05</v>
      </c>
      <c r="T6" s="20"/>
      <c r="U6" s="20"/>
      <c r="V6" s="20"/>
      <c r="Y6" s="21"/>
      <c r="Z6" s="20"/>
      <c r="AA6" s="20"/>
    </row>
    <row r="7" spans="2:27" s="17" customFormat="1" x14ac:dyDescent="0.2">
      <c r="B7" s="26" t="s">
        <v>14</v>
      </c>
      <c r="C7" s="27"/>
      <c r="D7" s="27"/>
      <c r="E7" s="27"/>
      <c r="F7" s="27"/>
      <c r="G7" s="116">
        <f>SUM(G8:G15)</f>
        <v>0.2</v>
      </c>
      <c r="H7" s="27"/>
      <c r="I7" s="29"/>
      <c r="J7" s="27"/>
      <c r="K7" s="27"/>
      <c r="L7" s="27"/>
      <c r="M7" s="116">
        <f>SUM(M8:M15)</f>
        <v>0.19999999999999998</v>
      </c>
      <c r="N7" s="27"/>
      <c r="O7" s="29"/>
      <c r="P7" s="27"/>
      <c r="Q7" s="27"/>
      <c r="R7" s="27"/>
      <c r="S7" s="116">
        <f>SUM(S8:S15)</f>
        <v>0.2</v>
      </c>
      <c r="T7" s="27"/>
      <c r="U7" s="29"/>
      <c r="V7" s="27"/>
      <c r="W7" s="27"/>
      <c r="X7" s="27"/>
      <c r="Y7" s="116">
        <f>SUM(Y8:Y15)</f>
        <v>0.15</v>
      </c>
    </row>
    <row r="8" spans="2:27" s="19" customFormat="1" x14ac:dyDescent="0.2">
      <c r="B8" s="18" t="s">
        <v>0</v>
      </c>
      <c r="D8" s="33" t="s">
        <v>15</v>
      </c>
      <c r="E8" s="114"/>
      <c r="F8" s="114"/>
      <c r="G8" s="21">
        <v>0.06</v>
      </c>
      <c r="H8" s="114"/>
      <c r="I8" s="114"/>
      <c r="J8" s="25" t="s">
        <v>16</v>
      </c>
      <c r="K8" s="114"/>
      <c r="L8" s="114"/>
      <c r="M8" s="108">
        <v>0.06</v>
      </c>
      <c r="N8" s="114"/>
      <c r="O8" s="38"/>
      <c r="P8" s="25"/>
      <c r="Q8" s="38"/>
      <c r="R8" s="38"/>
      <c r="S8" s="105"/>
      <c r="T8" s="71"/>
      <c r="U8" s="38"/>
      <c r="V8" s="25" t="s">
        <v>16</v>
      </c>
      <c r="W8" s="38"/>
      <c r="X8" s="38"/>
      <c r="Y8" s="108">
        <v>0.06</v>
      </c>
      <c r="Z8" s="20"/>
      <c r="AA8" s="20"/>
    </row>
    <row r="9" spans="2:27" s="19" customFormat="1" x14ac:dyDescent="0.2">
      <c r="B9" s="18" t="s">
        <v>17</v>
      </c>
      <c r="D9" s="25" t="s">
        <v>18</v>
      </c>
      <c r="E9" s="38"/>
      <c r="F9" s="38"/>
      <c r="G9" s="21">
        <v>0.04</v>
      </c>
      <c r="H9" s="38"/>
      <c r="I9" s="38"/>
      <c r="J9" s="38" t="s">
        <v>83</v>
      </c>
      <c r="K9" s="38"/>
      <c r="L9" s="38"/>
      <c r="M9" s="108">
        <v>0.03</v>
      </c>
      <c r="N9" s="38"/>
      <c r="O9" s="38"/>
      <c r="P9" s="38" t="s">
        <v>83</v>
      </c>
      <c r="Q9" s="38"/>
      <c r="R9" s="38"/>
      <c r="S9" s="108">
        <v>0.06</v>
      </c>
      <c r="T9" s="38"/>
      <c r="U9" s="38"/>
      <c r="V9" s="25"/>
      <c r="W9" s="38"/>
      <c r="X9" s="38"/>
      <c r="Y9" s="105"/>
      <c r="Z9" s="20"/>
      <c r="AA9" s="20"/>
    </row>
    <row r="10" spans="2:27" s="19" customFormat="1" x14ac:dyDescent="0.2">
      <c r="B10" s="18"/>
      <c r="D10" s="25" t="s">
        <v>19</v>
      </c>
      <c r="E10" s="38"/>
      <c r="F10" s="38"/>
      <c r="G10" s="21">
        <v>0.04</v>
      </c>
      <c r="H10" s="38"/>
      <c r="I10" s="38"/>
      <c r="J10" s="25"/>
      <c r="K10" s="38"/>
      <c r="L10" s="38"/>
      <c r="M10" s="105"/>
      <c r="N10" s="38"/>
      <c r="O10" s="38"/>
      <c r="P10" s="25" t="s">
        <v>18</v>
      </c>
      <c r="Q10" s="38"/>
      <c r="R10" s="38"/>
      <c r="S10" s="105">
        <v>0.04</v>
      </c>
      <c r="T10" s="38"/>
      <c r="U10" s="38"/>
      <c r="V10" s="25"/>
      <c r="W10" s="38"/>
      <c r="X10" s="38"/>
      <c r="Y10" s="105"/>
      <c r="Z10" s="20"/>
      <c r="AA10" s="20"/>
    </row>
    <row r="11" spans="2:27" s="19" customFormat="1" x14ac:dyDescent="0.2">
      <c r="B11" s="18" t="s">
        <v>20</v>
      </c>
      <c r="D11" s="25" t="s">
        <v>21</v>
      </c>
      <c r="E11" s="38"/>
      <c r="F11" s="38"/>
      <c r="G11" s="21">
        <v>0.03</v>
      </c>
      <c r="H11" s="38"/>
      <c r="I11" s="38"/>
      <c r="J11" s="25" t="s">
        <v>21</v>
      </c>
      <c r="K11" s="38"/>
      <c r="L11" s="38"/>
      <c r="M11" s="108">
        <v>0.03</v>
      </c>
      <c r="N11" s="38"/>
      <c r="O11" s="38"/>
      <c r="P11" s="38"/>
      <c r="Q11" s="38"/>
      <c r="R11" s="38"/>
      <c r="S11" s="105"/>
      <c r="T11" s="38"/>
      <c r="U11" s="38"/>
      <c r="V11" s="25" t="s">
        <v>21</v>
      </c>
      <c r="W11" s="38"/>
      <c r="X11" s="38"/>
      <c r="Y11" s="108">
        <v>0.03</v>
      </c>
      <c r="Z11" s="20"/>
      <c r="AA11" s="20"/>
    </row>
    <row r="12" spans="2:27" s="19" customFormat="1" x14ac:dyDescent="0.2">
      <c r="B12" s="18"/>
      <c r="D12" s="25"/>
      <c r="E12" s="38"/>
      <c r="F12" s="38"/>
      <c r="G12" s="21"/>
      <c r="H12" s="38"/>
      <c r="I12" s="38"/>
      <c r="J12" s="25" t="s">
        <v>22</v>
      </c>
      <c r="K12" s="38"/>
      <c r="L12" s="38"/>
      <c r="M12" s="108">
        <v>0.02</v>
      </c>
      <c r="N12" s="38"/>
      <c r="O12" s="38"/>
      <c r="P12" s="25"/>
      <c r="Q12" s="38"/>
      <c r="R12" s="38"/>
      <c r="S12" s="105"/>
      <c r="T12" s="38"/>
      <c r="U12" s="38"/>
      <c r="V12" s="25" t="s">
        <v>22</v>
      </c>
      <c r="W12" s="38"/>
      <c r="X12" s="38"/>
      <c r="Y12" s="108">
        <v>0.02</v>
      </c>
      <c r="Z12" s="20"/>
      <c r="AA12" s="20"/>
    </row>
    <row r="13" spans="2:27" s="19" customFormat="1" x14ac:dyDescent="0.2">
      <c r="B13" s="18"/>
      <c r="D13" s="25"/>
      <c r="E13" s="38"/>
      <c r="F13" s="38"/>
      <c r="G13" s="21"/>
      <c r="H13" s="38"/>
      <c r="I13" s="38"/>
      <c r="J13" s="25" t="s">
        <v>94</v>
      </c>
      <c r="K13" s="38"/>
      <c r="L13" s="38"/>
      <c r="M13" s="108">
        <v>0.03</v>
      </c>
      <c r="N13" s="38"/>
      <c r="O13" s="38"/>
      <c r="P13" s="25" t="s">
        <v>94</v>
      </c>
      <c r="Q13" s="38"/>
      <c r="R13" s="38"/>
      <c r="S13" s="105">
        <v>0.05</v>
      </c>
      <c r="T13" s="38"/>
      <c r="U13" s="38"/>
      <c r="V13" s="25" t="s">
        <v>94</v>
      </c>
      <c r="W13" s="38"/>
      <c r="X13" s="38"/>
      <c r="Y13" s="108">
        <v>0.04</v>
      </c>
      <c r="Z13" s="20"/>
      <c r="AA13" s="20"/>
    </row>
    <row r="14" spans="2:27" s="19" customFormat="1" x14ac:dyDescent="0.2">
      <c r="B14" s="18" t="s">
        <v>23</v>
      </c>
      <c r="D14" s="34" t="s">
        <v>24</v>
      </c>
      <c r="E14" s="38"/>
      <c r="F14" s="38"/>
      <c r="G14" s="21">
        <v>0.03</v>
      </c>
      <c r="H14" s="38"/>
      <c r="I14" s="38"/>
      <c r="J14" s="34" t="s">
        <v>24</v>
      </c>
      <c r="K14" s="38"/>
      <c r="L14" s="38"/>
      <c r="M14" s="108">
        <v>0.03</v>
      </c>
      <c r="N14" s="38"/>
      <c r="O14" s="38"/>
      <c r="P14" s="34" t="s">
        <v>24</v>
      </c>
      <c r="Q14" s="38"/>
      <c r="R14" s="38"/>
      <c r="S14" s="105">
        <v>0.05</v>
      </c>
      <c r="T14" s="38"/>
      <c r="U14" s="38"/>
      <c r="V14" s="25"/>
      <c r="W14" s="38"/>
      <c r="X14" s="38"/>
      <c r="Y14" s="108"/>
      <c r="Z14" s="20"/>
      <c r="AA14" s="20"/>
    </row>
    <row r="15" spans="2:27" s="19" customFormat="1" x14ac:dyDescent="0.2">
      <c r="B15" s="18"/>
      <c r="D15" s="34"/>
      <c r="E15" s="38"/>
      <c r="F15" s="38"/>
      <c r="G15" s="21"/>
      <c r="H15" s="38"/>
      <c r="I15" s="38"/>
      <c r="J15" s="34"/>
      <c r="K15" s="38"/>
      <c r="L15" s="38"/>
      <c r="M15" s="108"/>
      <c r="N15" s="38"/>
      <c r="O15" s="38"/>
      <c r="P15" s="34"/>
      <c r="Q15" s="38"/>
      <c r="R15" s="38"/>
      <c r="S15" s="109"/>
      <c r="T15" s="38"/>
      <c r="U15" s="38"/>
      <c r="V15" s="25"/>
      <c r="W15" s="38"/>
      <c r="X15" s="38"/>
      <c r="Y15" s="108"/>
      <c r="Z15" s="20"/>
      <c r="AA15" s="20"/>
    </row>
    <row r="16" spans="2:27" s="17" customFormat="1" x14ac:dyDescent="0.2">
      <c r="B16" s="35" t="s">
        <v>25</v>
      </c>
      <c r="C16" s="36"/>
      <c r="D16" s="36"/>
      <c r="E16" s="36"/>
      <c r="F16" s="36"/>
      <c r="G16" s="117">
        <f>SUM(G17:G25)</f>
        <v>0.45000000000000007</v>
      </c>
      <c r="H16" s="36"/>
      <c r="I16" s="29"/>
      <c r="J16" s="36"/>
      <c r="K16" s="36"/>
      <c r="L16" s="36"/>
      <c r="M16" s="117">
        <f>SUM(M17:M25)</f>
        <v>0.44999999999999996</v>
      </c>
      <c r="N16" s="36"/>
      <c r="O16" s="29"/>
      <c r="P16" s="36"/>
      <c r="Q16" s="36"/>
      <c r="R16" s="36"/>
      <c r="S16" s="117">
        <f>SUM(S17:S25)</f>
        <v>0.44999999999999996</v>
      </c>
      <c r="T16" s="36"/>
      <c r="U16" s="29"/>
      <c r="V16" s="36"/>
      <c r="W16" s="36"/>
      <c r="X16" s="36"/>
      <c r="Y16" s="117">
        <f>SUM(Y17:Y25)</f>
        <v>0.44999999999999996</v>
      </c>
    </row>
    <row r="17" spans="2:30" s="19" customFormat="1" x14ac:dyDescent="0.2">
      <c r="B17" s="18" t="s">
        <v>26</v>
      </c>
      <c r="D17" s="19" t="s">
        <v>68</v>
      </c>
      <c r="E17" s="25"/>
      <c r="F17" s="25"/>
      <c r="G17" s="21">
        <v>0.22499999999999998</v>
      </c>
      <c r="H17" s="25"/>
      <c r="I17" s="25"/>
      <c r="J17" s="19" t="s">
        <v>27</v>
      </c>
      <c r="K17" s="25"/>
      <c r="L17" s="25"/>
      <c r="M17" s="24">
        <v>0.22499999999999998</v>
      </c>
      <c r="N17" s="25"/>
      <c r="O17" s="25"/>
      <c r="P17" s="25" t="s">
        <v>67</v>
      </c>
      <c r="Q17" s="107"/>
      <c r="R17" s="107"/>
      <c r="S17" s="61">
        <v>0.22499999999999998</v>
      </c>
      <c r="T17" s="107"/>
      <c r="U17" s="38"/>
      <c r="V17" s="25" t="s">
        <v>67</v>
      </c>
      <c r="W17" s="107"/>
      <c r="X17" s="38"/>
      <c r="Y17" s="61">
        <v>0.22499999999999998</v>
      </c>
    </row>
    <row r="18" spans="2:30" s="19" customFormat="1" x14ac:dyDescent="0.2">
      <c r="B18" s="18"/>
      <c r="E18" s="25"/>
      <c r="F18" s="25"/>
      <c r="G18" s="21"/>
      <c r="H18" s="25"/>
      <c r="I18" s="25"/>
      <c r="J18" s="25"/>
      <c r="K18" s="25"/>
      <c r="L18" s="25"/>
      <c r="M18" s="24"/>
      <c r="N18" s="25"/>
      <c r="O18" s="25"/>
      <c r="P18" s="25" t="s">
        <v>34</v>
      </c>
      <c r="Q18" s="107"/>
      <c r="R18" s="107"/>
      <c r="S18" s="61">
        <v>0.04</v>
      </c>
      <c r="T18" s="107"/>
      <c r="U18" s="38"/>
      <c r="V18" s="25"/>
      <c r="W18" s="107"/>
      <c r="X18" s="38"/>
      <c r="Y18" s="61"/>
    </row>
    <row r="19" spans="2:30" s="19" customFormat="1" x14ac:dyDescent="0.2">
      <c r="B19" s="18" t="s">
        <v>28</v>
      </c>
      <c r="D19" s="19" t="s">
        <v>29</v>
      </c>
      <c r="E19" s="25"/>
      <c r="F19" s="25"/>
      <c r="G19" s="21">
        <v>0.10500000000000001</v>
      </c>
      <c r="H19" s="25"/>
      <c r="I19" s="25"/>
      <c r="J19" s="25" t="s">
        <v>30</v>
      </c>
      <c r="K19" s="25"/>
      <c r="L19" s="25"/>
      <c r="M19" s="24">
        <v>4.4999999999999998E-2</v>
      </c>
      <c r="N19" s="25"/>
      <c r="O19" s="25"/>
      <c r="P19" s="25" t="s">
        <v>30</v>
      </c>
      <c r="Q19" s="25"/>
      <c r="R19" s="25"/>
      <c r="S19" s="61">
        <v>4.4999999999999998E-2</v>
      </c>
      <c r="T19" s="25"/>
      <c r="U19" s="25"/>
      <c r="V19" s="25" t="s">
        <v>30</v>
      </c>
      <c r="W19" s="25"/>
      <c r="X19" s="38"/>
      <c r="Y19" s="61">
        <v>0.05</v>
      </c>
    </row>
    <row r="20" spans="2:30" s="19" customFormat="1" x14ac:dyDescent="0.2">
      <c r="B20" s="18"/>
      <c r="D20" s="25" t="s">
        <v>31</v>
      </c>
      <c r="E20" s="25"/>
      <c r="F20" s="25"/>
      <c r="G20" s="21">
        <v>0.03</v>
      </c>
      <c r="H20" s="25"/>
      <c r="I20" s="25"/>
      <c r="J20" s="25" t="s">
        <v>31</v>
      </c>
      <c r="K20" s="25"/>
      <c r="L20" s="25"/>
      <c r="M20" s="24">
        <v>0.06</v>
      </c>
      <c r="N20" s="25"/>
      <c r="O20" s="25"/>
      <c r="P20" s="25"/>
      <c r="Q20" s="25"/>
      <c r="R20" s="25"/>
      <c r="S20" s="61"/>
      <c r="T20" s="25"/>
      <c r="U20" s="25"/>
      <c r="V20" s="25" t="s">
        <v>31</v>
      </c>
      <c r="W20" s="25"/>
      <c r="X20" s="38"/>
      <c r="Y20" s="61">
        <v>0.04</v>
      </c>
    </row>
    <row r="21" spans="2:30" s="19" customFormat="1" x14ac:dyDescent="0.2">
      <c r="B21" s="18"/>
      <c r="D21" s="25" t="s">
        <v>32</v>
      </c>
      <c r="E21" s="25"/>
      <c r="F21" s="25"/>
      <c r="G21" s="21">
        <v>0.03</v>
      </c>
      <c r="H21" s="25"/>
      <c r="I21" s="25"/>
      <c r="J21" s="25" t="s">
        <v>32</v>
      </c>
      <c r="K21" s="25"/>
      <c r="L21" s="25"/>
      <c r="M21" s="24">
        <v>0.06</v>
      </c>
      <c r="N21" s="25"/>
      <c r="O21" s="25"/>
      <c r="P21" s="25" t="s">
        <v>32</v>
      </c>
      <c r="Q21" s="25"/>
      <c r="R21" s="25"/>
      <c r="S21" s="61">
        <v>4.4999999999999998E-2</v>
      </c>
      <c r="T21" s="25"/>
      <c r="U21" s="25"/>
      <c r="V21" s="25" t="s">
        <v>32</v>
      </c>
      <c r="W21" s="25"/>
      <c r="X21" s="38"/>
      <c r="Y21" s="61">
        <v>0.04</v>
      </c>
    </row>
    <row r="22" spans="2:30" s="19" customFormat="1" x14ac:dyDescent="0.2">
      <c r="B22" s="18" t="s">
        <v>63</v>
      </c>
      <c r="E22" s="25"/>
      <c r="F22" s="25"/>
      <c r="G22" s="21"/>
      <c r="H22" s="25"/>
      <c r="I22" s="25"/>
      <c r="J22" s="25"/>
      <c r="K22" s="25"/>
      <c r="L22" s="25"/>
      <c r="M22" s="24"/>
      <c r="N22" s="25"/>
      <c r="O22" s="25"/>
      <c r="P22" s="25" t="s">
        <v>64</v>
      </c>
      <c r="Q22" s="25"/>
      <c r="R22" s="25"/>
      <c r="S22" s="61">
        <v>3.5000000000000003E-2</v>
      </c>
      <c r="T22" s="25"/>
      <c r="U22" s="25"/>
      <c r="V22" s="25"/>
      <c r="W22" s="25"/>
      <c r="X22" s="38"/>
      <c r="Y22" s="61"/>
    </row>
    <row r="23" spans="2:30" s="19" customFormat="1" x14ac:dyDescent="0.2">
      <c r="B23" s="18" t="s">
        <v>33</v>
      </c>
      <c r="D23" s="19" t="s">
        <v>62</v>
      </c>
      <c r="E23" s="25"/>
      <c r="F23" s="25"/>
      <c r="G23" s="21">
        <v>0.03</v>
      </c>
      <c r="H23" s="25"/>
      <c r="I23" s="25"/>
      <c r="J23" s="19" t="s">
        <v>62</v>
      </c>
      <c r="K23" s="25"/>
      <c r="L23" s="25"/>
      <c r="M23" s="24">
        <v>0.03</v>
      </c>
      <c r="N23" s="25"/>
      <c r="O23" s="25"/>
      <c r="P23" s="25" t="s">
        <v>96</v>
      </c>
      <c r="Q23" s="25"/>
      <c r="R23" s="25"/>
      <c r="S23" s="61">
        <v>0.03</v>
      </c>
      <c r="T23" s="25"/>
      <c r="U23" s="25"/>
      <c r="V23" s="38" t="s">
        <v>95</v>
      </c>
      <c r="W23" s="25"/>
      <c r="X23" s="38"/>
      <c r="Y23" s="61">
        <v>3.5000000000000003E-2</v>
      </c>
    </row>
    <row r="24" spans="2:30" s="19" customFormat="1" x14ac:dyDescent="0.2">
      <c r="B24" s="18"/>
      <c r="E24" s="25"/>
      <c r="F24" s="25"/>
      <c r="G24" s="21"/>
      <c r="H24" s="25"/>
      <c r="I24" s="25"/>
      <c r="J24" s="25"/>
      <c r="K24" s="25"/>
      <c r="L24" s="25"/>
      <c r="M24" s="24"/>
      <c r="N24" s="25"/>
      <c r="O24" s="25"/>
      <c r="Q24" s="25"/>
      <c r="R24" s="25"/>
      <c r="S24" s="61"/>
      <c r="T24" s="25"/>
      <c r="U24" s="25"/>
      <c r="V24" s="25" t="s">
        <v>36</v>
      </c>
      <c r="W24" s="25"/>
      <c r="X24" s="38"/>
      <c r="Y24" s="61">
        <v>0.03</v>
      </c>
    </row>
    <row r="25" spans="2:30" s="19" customFormat="1" x14ac:dyDescent="0.2">
      <c r="B25" s="18" t="s">
        <v>37</v>
      </c>
      <c r="D25" s="25" t="s">
        <v>38</v>
      </c>
      <c r="E25" s="25"/>
      <c r="F25" s="25"/>
      <c r="G25" s="21">
        <v>0.03</v>
      </c>
      <c r="H25" s="25"/>
      <c r="I25" s="25"/>
      <c r="J25" s="25" t="s">
        <v>38</v>
      </c>
      <c r="K25" s="25"/>
      <c r="L25" s="25"/>
      <c r="M25" s="24">
        <v>0.03</v>
      </c>
      <c r="N25" s="25"/>
      <c r="O25" s="25"/>
      <c r="P25" s="25" t="s">
        <v>38</v>
      </c>
      <c r="Q25" s="111"/>
      <c r="R25" s="111"/>
      <c r="S25" s="61">
        <v>0.03</v>
      </c>
      <c r="T25" s="25"/>
      <c r="U25" s="25"/>
      <c r="V25" s="25" t="s">
        <v>38</v>
      </c>
      <c r="W25" s="110"/>
      <c r="X25" s="113"/>
      <c r="Y25" s="61">
        <v>0.03</v>
      </c>
    </row>
    <row r="26" spans="2:30" s="17" customFormat="1" x14ac:dyDescent="0.2">
      <c r="B26" s="40" t="s">
        <v>40</v>
      </c>
      <c r="C26" s="40"/>
      <c r="D26" s="41"/>
      <c r="E26" s="41"/>
      <c r="F26" s="41"/>
      <c r="G26" s="118">
        <f>SUM(G27:G33)</f>
        <v>0.15</v>
      </c>
      <c r="H26" s="43"/>
      <c r="I26" s="29"/>
      <c r="J26" s="41"/>
      <c r="K26" s="41"/>
      <c r="L26" s="41"/>
      <c r="M26" s="118">
        <f>SUM(M27:M33)</f>
        <v>0.15</v>
      </c>
      <c r="N26" s="43"/>
      <c r="O26" s="29"/>
      <c r="P26" s="41"/>
      <c r="Q26" s="41"/>
      <c r="R26" s="41"/>
      <c r="S26" s="118">
        <f>SUM(S27:S33)</f>
        <v>0.15000000000000002</v>
      </c>
      <c r="T26" s="43"/>
      <c r="U26" s="29"/>
      <c r="V26" s="41"/>
      <c r="W26" s="41"/>
      <c r="X26" s="41"/>
      <c r="Y26" s="118">
        <f>SUM(Y27:Y33)</f>
        <v>0.15000000000000002</v>
      </c>
    </row>
    <row r="27" spans="2:30" s="16" customFormat="1" x14ac:dyDescent="0.2">
      <c r="B27" s="58"/>
      <c r="C27" s="58"/>
      <c r="D27" s="19" t="s">
        <v>70</v>
      </c>
      <c r="E27" s="19"/>
      <c r="F27" s="19"/>
      <c r="G27" s="21">
        <v>7.4999999999999997E-2</v>
      </c>
      <c r="H27" s="29"/>
      <c r="I27" s="29"/>
      <c r="J27" s="19" t="s">
        <v>71</v>
      </c>
      <c r="K27" s="19"/>
      <c r="L27" s="19"/>
      <c r="M27" s="21">
        <v>0.09</v>
      </c>
      <c r="N27" s="29"/>
      <c r="O27" s="29"/>
      <c r="P27" s="19" t="s">
        <v>71</v>
      </c>
      <c r="Q27" s="19"/>
      <c r="R27" s="19"/>
      <c r="S27" s="21">
        <v>0.12</v>
      </c>
      <c r="T27" s="29"/>
      <c r="U27" s="29"/>
      <c r="V27" s="19" t="s">
        <v>71</v>
      </c>
      <c r="W27" s="19"/>
      <c r="X27" s="19"/>
      <c r="Y27" s="21">
        <v>0.11</v>
      </c>
      <c r="AD27" s="19"/>
    </row>
    <row r="28" spans="2:30" s="19" customFormat="1" x14ac:dyDescent="0.2">
      <c r="B28" s="18"/>
      <c r="D28" s="19" t="s">
        <v>69</v>
      </c>
      <c r="G28" s="21">
        <v>7.4999999999999997E-2</v>
      </c>
      <c r="J28" s="12" t="s">
        <v>41</v>
      </c>
      <c r="K28" s="12"/>
      <c r="L28" s="12"/>
      <c r="M28" s="39">
        <v>0.01</v>
      </c>
      <c r="N28" s="12"/>
      <c r="O28" s="12"/>
      <c r="P28" s="12" t="s">
        <v>41</v>
      </c>
      <c r="Q28" s="12"/>
      <c r="R28" s="12"/>
      <c r="S28" s="39">
        <v>0.01</v>
      </c>
      <c r="T28" s="12"/>
      <c r="U28" s="12"/>
      <c r="V28" s="12" t="s">
        <v>42</v>
      </c>
      <c r="W28" s="12"/>
      <c r="X28" s="12"/>
      <c r="Y28" s="39">
        <v>0.01</v>
      </c>
    </row>
    <row r="29" spans="2:30" s="19" customFormat="1" x14ac:dyDescent="0.2">
      <c r="B29" s="18"/>
      <c r="G29" s="21"/>
      <c r="J29" s="12" t="s">
        <v>43</v>
      </c>
      <c r="K29" s="12"/>
      <c r="L29" s="12"/>
      <c r="M29" s="39">
        <v>0.01</v>
      </c>
      <c r="N29" s="12"/>
      <c r="O29" s="12"/>
      <c r="P29" s="12" t="s">
        <v>44</v>
      </c>
      <c r="Q29" s="12"/>
      <c r="R29" s="12"/>
      <c r="S29" s="39">
        <v>0.01</v>
      </c>
      <c r="T29" s="12"/>
      <c r="U29" s="12"/>
      <c r="V29" s="12" t="s">
        <v>93</v>
      </c>
      <c r="W29" s="12"/>
      <c r="X29" s="12"/>
      <c r="Y29" s="39">
        <v>0.01</v>
      </c>
    </row>
    <row r="30" spans="2:30" s="19" customFormat="1" x14ac:dyDescent="0.2">
      <c r="B30" s="18"/>
      <c r="G30" s="21"/>
      <c r="J30" s="12" t="s">
        <v>46</v>
      </c>
      <c r="K30" s="12"/>
      <c r="L30" s="12"/>
      <c r="M30" s="39">
        <v>0.01</v>
      </c>
      <c r="N30" s="12"/>
      <c r="O30" s="12"/>
      <c r="P30" s="12" t="s">
        <v>98</v>
      </c>
      <c r="Q30" s="12"/>
      <c r="R30" s="12"/>
      <c r="S30" s="39">
        <v>0.01</v>
      </c>
      <c r="T30" s="12"/>
      <c r="U30" s="12"/>
      <c r="V30" s="12" t="s">
        <v>47</v>
      </c>
      <c r="W30" s="12"/>
      <c r="X30" s="12"/>
      <c r="Y30" s="39">
        <v>0.01</v>
      </c>
    </row>
    <row r="31" spans="2:30" s="19" customFormat="1" x14ac:dyDescent="0.2">
      <c r="B31" s="18"/>
      <c r="G31" s="21"/>
      <c r="J31" s="12" t="s">
        <v>42</v>
      </c>
      <c r="K31" s="12"/>
      <c r="L31" s="12"/>
      <c r="M31" s="39">
        <v>0.01</v>
      </c>
      <c r="N31" s="12"/>
      <c r="O31" s="12"/>
      <c r="P31" s="38"/>
      <c r="Q31" s="12"/>
      <c r="R31" s="12"/>
      <c r="S31" s="70"/>
      <c r="T31" s="12"/>
      <c r="U31" s="12"/>
      <c r="V31" s="62" t="s">
        <v>97</v>
      </c>
      <c r="W31" s="12"/>
      <c r="X31" s="12"/>
      <c r="Y31" s="39">
        <v>0.01</v>
      </c>
    </row>
    <row r="32" spans="2:30" s="19" customFormat="1" x14ac:dyDescent="0.2">
      <c r="B32" s="18"/>
      <c r="G32" s="21"/>
      <c r="J32" s="12" t="s">
        <v>93</v>
      </c>
      <c r="K32" s="12"/>
      <c r="L32" s="12"/>
      <c r="M32" s="39">
        <v>0.01</v>
      </c>
      <c r="N32" s="12"/>
      <c r="O32" s="12"/>
      <c r="P32" s="12"/>
      <c r="Q32" s="12"/>
      <c r="R32" s="12"/>
      <c r="S32" s="39"/>
      <c r="T32" s="12"/>
      <c r="U32" s="12"/>
      <c r="V32" s="59"/>
      <c r="W32" s="12"/>
      <c r="X32" s="12"/>
      <c r="Y32" s="39"/>
    </row>
    <row r="33" spans="2:29" s="19" customFormat="1" x14ac:dyDescent="0.2">
      <c r="B33" s="18"/>
      <c r="G33" s="21"/>
      <c r="J33" s="19" t="s">
        <v>47</v>
      </c>
      <c r="M33" s="21">
        <v>0.01</v>
      </c>
      <c r="S33" s="21"/>
      <c r="Y33" s="21"/>
    </row>
    <row r="34" spans="2:29" s="17" customFormat="1" x14ac:dyDescent="0.2">
      <c r="B34" s="44"/>
      <c r="C34" s="45"/>
      <c r="D34" s="45"/>
      <c r="E34" s="45"/>
      <c r="F34" s="45"/>
      <c r="G34" s="119">
        <f>G3+G7+G16+G26</f>
        <v>1</v>
      </c>
      <c r="H34" s="44">
        <f>H3+H7+H16+H26</f>
        <v>0</v>
      </c>
      <c r="I34" s="46">
        <f>I3+I7+I16+I26</f>
        <v>0</v>
      </c>
      <c r="J34" s="44"/>
      <c r="K34" s="44">
        <f>K3+K7+K16+K26</f>
        <v>0</v>
      </c>
      <c r="L34" s="44">
        <f>L3+L7+L16+L26</f>
        <v>0</v>
      </c>
      <c r="M34" s="119">
        <f>M3+M7+M16+M26</f>
        <v>1</v>
      </c>
      <c r="N34" s="44">
        <f>N3+N7+N16+N26</f>
        <v>0</v>
      </c>
      <c r="O34" s="46">
        <f>O3+O7+O16+O26</f>
        <v>0</v>
      </c>
      <c r="P34" s="44"/>
      <c r="Q34" s="44">
        <f>Q3+Q7+Q16+Q26</f>
        <v>0</v>
      </c>
      <c r="R34" s="44">
        <f>R3+R7+R16+R26</f>
        <v>0</v>
      </c>
      <c r="S34" s="119">
        <f>S3+S7+S16+S26</f>
        <v>1</v>
      </c>
      <c r="T34" s="44">
        <f>T3+T7+T16+T26</f>
        <v>0</v>
      </c>
      <c r="U34" s="46">
        <f>U3+U7+U16+U26</f>
        <v>0</v>
      </c>
      <c r="V34" s="44"/>
      <c r="W34" s="44"/>
      <c r="X34" s="44"/>
      <c r="Y34" s="119">
        <f>Y3+Y7+Y16+Y26</f>
        <v>1</v>
      </c>
    </row>
    <row r="35" spans="2:29" x14ac:dyDescent="0.2">
      <c r="B35" s="48" t="s">
        <v>50</v>
      </c>
      <c r="C35" s="49"/>
      <c r="D35" s="49"/>
      <c r="E35" s="49"/>
      <c r="F35" s="49"/>
      <c r="G35" s="120"/>
      <c r="H35" s="51"/>
      <c r="I35" s="51"/>
      <c r="J35" s="51"/>
      <c r="K35" s="51"/>
      <c r="L35" s="51"/>
      <c r="M35" s="120"/>
      <c r="N35" s="51"/>
      <c r="O35" s="51"/>
      <c r="P35" s="51"/>
      <c r="Q35" s="51"/>
      <c r="R35" s="51"/>
      <c r="S35" s="120"/>
      <c r="T35" s="51"/>
      <c r="U35" s="51"/>
      <c r="V35" s="51"/>
      <c r="W35" s="51"/>
      <c r="X35" s="52"/>
      <c r="Y35" s="120"/>
      <c r="AA35" s="12" t="s">
        <v>39</v>
      </c>
    </row>
    <row r="36" spans="2:29" s="19" customFormat="1" x14ac:dyDescent="0.2">
      <c r="B36" s="18"/>
      <c r="D36" s="20"/>
      <c r="E36" s="20"/>
      <c r="F36" s="20"/>
      <c r="G36" s="21"/>
      <c r="H36" s="20"/>
      <c r="J36" s="22" t="s">
        <v>51</v>
      </c>
      <c r="K36" s="20"/>
      <c r="L36" s="20"/>
      <c r="M36" s="21">
        <v>5.0000000000000001E-3</v>
      </c>
      <c r="N36" s="20"/>
      <c r="P36" s="25" t="s">
        <v>52</v>
      </c>
      <c r="Q36" s="20"/>
      <c r="R36" s="20"/>
      <c r="S36" s="21">
        <v>5.0000000000000001E-3</v>
      </c>
      <c r="V36" s="25" t="s">
        <v>53</v>
      </c>
      <c r="Y36" s="21">
        <v>5.0000000000000001E-3</v>
      </c>
      <c r="Z36" s="20"/>
      <c r="AA36" s="20"/>
    </row>
    <row r="37" spans="2:29" s="19" customFormat="1" x14ac:dyDescent="0.2">
      <c r="B37" s="18"/>
      <c r="G37" s="21"/>
      <c r="J37" s="22" t="s">
        <v>54</v>
      </c>
      <c r="M37" s="21">
        <v>5.0000000000000001E-3</v>
      </c>
      <c r="P37" s="25" t="s">
        <v>55</v>
      </c>
      <c r="S37" s="21">
        <v>5.0000000000000001E-3</v>
      </c>
      <c r="V37" s="19" t="s">
        <v>56</v>
      </c>
      <c r="Y37" s="21">
        <v>5.0000000000000001E-3</v>
      </c>
      <c r="Z37" s="20"/>
      <c r="AA37" s="20"/>
    </row>
    <row r="38" spans="2:29" s="19" customFormat="1" x14ac:dyDescent="0.2">
      <c r="B38" s="18"/>
      <c r="G38" s="21"/>
      <c r="J38" s="22" t="s">
        <v>57</v>
      </c>
      <c r="M38" s="21">
        <v>5.0000000000000001E-3</v>
      </c>
      <c r="P38" s="25" t="s">
        <v>58</v>
      </c>
      <c r="S38" s="21">
        <v>5.0000000000000001E-3</v>
      </c>
      <c r="V38" s="19" t="s">
        <v>57</v>
      </c>
      <c r="Y38" s="21">
        <v>5.0000000000000001E-3</v>
      </c>
      <c r="Z38" s="20"/>
      <c r="AA38" s="20"/>
    </row>
    <row r="39" spans="2:29" s="19" customFormat="1" x14ac:dyDescent="0.2">
      <c r="B39" s="18"/>
      <c r="G39" s="21"/>
      <c r="J39" s="22" t="s">
        <v>59</v>
      </c>
      <c r="M39" s="21">
        <v>5.0000000000000001E-3</v>
      </c>
      <c r="P39" s="25" t="s">
        <v>60</v>
      </c>
      <c r="S39" s="21">
        <v>5.0000000000000001E-3</v>
      </c>
      <c r="V39" s="19" t="s">
        <v>61</v>
      </c>
      <c r="Y39" s="21">
        <v>5.0000000000000001E-3</v>
      </c>
      <c r="Z39" s="20"/>
      <c r="AA39" s="20"/>
    </row>
    <row r="40" spans="2:29" s="19" customFormat="1" x14ac:dyDescent="0.2">
      <c r="B40" s="18"/>
      <c r="G40" s="21"/>
      <c r="J40" s="22"/>
      <c r="M40" s="21"/>
      <c r="P40" s="25"/>
      <c r="S40" s="21"/>
      <c r="Y40" s="21"/>
      <c r="Z40" s="20"/>
      <c r="AA40" s="20"/>
    </row>
    <row r="41" spans="2:29" s="19" customFormat="1" x14ac:dyDescent="0.2">
      <c r="B41" s="18"/>
      <c r="G41" s="21"/>
      <c r="J41" s="22"/>
      <c r="M41" s="21"/>
      <c r="P41" s="25"/>
      <c r="S41" s="21"/>
      <c r="Y41" s="21"/>
      <c r="Z41" s="20"/>
      <c r="AA41" s="20"/>
    </row>
    <row r="42" spans="2:29" hidden="1" x14ac:dyDescent="0.2">
      <c r="D42" s="53">
        <v>0.6</v>
      </c>
    </row>
    <row r="43" spans="2:29" hidden="1" x14ac:dyDescent="0.2"/>
    <row r="44" spans="2:29" hidden="1" x14ac:dyDescent="0.2">
      <c r="D44" s="12" t="e">
        <f>#REF!</f>
        <v>#REF!</v>
      </c>
      <c r="G44" s="55" t="e">
        <f>ROUND(#REF!*$D$42,2)</f>
        <v>#REF!</v>
      </c>
      <c r="M44" s="55" t="e">
        <f>ROUND(#REF!*$D$42,2)</f>
        <v>#REF!</v>
      </c>
      <c r="S44" s="55" t="e">
        <f>ROUND(#REF!*$D$42,2)</f>
        <v>#REF!</v>
      </c>
      <c r="Y44" s="55" t="e">
        <f>ROUND(#REF!*$D$42,2)</f>
        <v>#REF!</v>
      </c>
    </row>
    <row r="45" spans="2:29" hidden="1" x14ac:dyDescent="0.2">
      <c r="D45" s="12" t="e">
        <f>#REF!</f>
        <v>#REF!</v>
      </c>
      <c r="G45" s="55" t="e">
        <f>ROUND(#REF!*$D$42,2)</f>
        <v>#REF!</v>
      </c>
      <c r="M45" s="55" t="e">
        <f>ROUND(#REF!*$D$42,2)</f>
        <v>#REF!</v>
      </c>
      <c r="S45" s="55" t="e">
        <f>ROUND(#REF!*$D$42,2)</f>
        <v>#REF!</v>
      </c>
      <c r="Y45" s="55" t="e">
        <f>ROUND(#REF!*$D$42,2)</f>
        <v>#REF!</v>
      </c>
    </row>
    <row r="46" spans="2:29" hidden="1" x14ac:dyDescent="0.2">
      <c r="D46" s="12" t="e">
        <f>#REF!</f>
        <v>#REF!</v>
      </c>
      <c r="G46" s="55" t="e">
        <f>ROUND(#REF!*$D$42,2)</f>
        <v>#REF!</v>
      </c>
      <c r="M46" s="55" t="e">
        <f>ROUND(#REF!*$D$42,2)</f>
        <v>#REF!</v>
      </c>
      <c r="S46" s="55" t="e">
        <f>ROUND(#REF!*$D$42,2)</f>
        <v>#REF!</v>
      </c>
      <c r="Y46" s="55" t="e">
        <f>ROUND(#REF!*$D$42,2)</f>
        <v>#REF!</v>
      </c>
      <c r="AC46" s="87"/>
    </row>
    <row r="47" spans="2:29" hidden="1" x14ac:dyDescent="0.2">
      <c r="D47" s="12" t="e">
        <f>#REF!</f>
        <v>#REF!</v>
      </c>
      <c r="G47" s="55" t="e">
        <f>ROUND(#REF!*$D$42,2)</f>
        <v>#REF!</v>
      </c>
      <c r="M47" s="55" t="e">
        <f>ROUND(#REF!*$D$42,2)</f>
        <v>#REF!</v>
      </c>
      <c r="S47" s="55" t="e">
        <f>ROUND(#REF!*$D$42,2)</f>
        <v>#REF!</v>
      </c>
      <c r="Y47" s="55" t="e">
        <f>ROUND(#REF!*$D$42,2)</f>
        <v>#REF!</v>
      </c>
    </row>
    <row r="48" spans="2:29" hidden="1" x14ac:dyDescent="0.2">
      <c r="D48" s="12" t="e">
        <f>#REF!</f>
        <v>#REF!</v>
      </c>
      <c r="G48" s="55" t="e">
        <f>ROUND(#REF!*$D$42,2)</f>
        <v>#REF!</v>
      </c>
      <c r="M48" s="55" t="e">
        <f>ROUND(#REF!*$D$42,2)</f>
        <v>#REF!</v>
      </c>
      <c r="S48" s="55" t="e">
        <f>ROUND(#REF!*$D$42,2)</f>
        <v>#REF!</v>
      </c>
      <c r="Y48" s="55" t="e">
        <f>ROUND(#REF!*$D$42,2)</f>
        <v>#REF!</v>
      </c>
    </row>
    <row r="49" spans="4:25" hidden="1" x14ac:dyDescent="0.2">
      <c r="D49" s="12" t="e">
        <f>#REF!</f>
        <v>#REF!</v>
      </c>
      <c r="G49" s="55" t="e">
        <f>ROUND(#REF!*$D$42,2)</f>
        <v>#REF!</v>
      </c>
      <c r="M49" s="55" t="e">
        <f>ROUND(#REF!*$D$42,2)</f>
        <v>#REF!</v>
      </c>
      <c r="S49" s="55" t="e">
        <f>ROUND(#REF!*$D$42,2)</f>
        <v>#REF!</v>
      </c>
      <c r="Y49" s="55" t="e">
        <f>ROUND(#REF!*$D$42,2)</f>
        <v>#REF!</v>
      </c>
    </row>
    <row r="50" spans="4:25" hidden="1" x14ac:dyDescent="0.2">
      <c r="D50" s="12" t="e">
        <f>#REF!</f>
        <v>#REF!</v>
      </c>
      <c r="G50" s="55" t="e">
        <f>ROUND(#REF!*$D$42,2)</f>
        <v>#REF!</v>
      </c>
      <c r="M50" s="55" t="e">
        <f>ROUND(#REF!*$D$42,2)</f>
        <v>#REF!</v>
      </c>
      <c r="S50" s="55" t="e">
        <f>ROUND(#REF!*$D$42,2)</f>
        <v>#REF!</v>
      </c>
      <c r="Y50" s="55" t="e">
        <f>ROUND(#REF!*$D$42,2)</f>
        <v>#REF!</v>
      </c>
    </row>
    <row r="51" spans="4:25" hidden="1" x14ac:dyDescent="0.2">
      <c r="D51" s="12" t="e">
        <f>#REF!</f>
        <v>#REF!</v>
      </c>
      <c r="G51" s="55" t="e">
        <f>ROUND(#REF!*$D$42,2)</f>
        <v>#REF!</v>
      </c>
      <c r="M51" s="55" t="e">
        <f>ROUND(#REF!*$D$42,2)</f>
        <v>#REF!</v>
      </c>
      <c r="S51" s="55" t="e">
        <f>ROUND(#REF!*$D$42,2)</f>
        <v>#REF!</v>
      </c>
      <c r="Y51" s="55" t="e">
        <f>ROUND(#REF!*$D$42,2)</f>
        <v>#REF!</v>
      </c>
    </row>
    <row r="52" spans="4:25" hidden="1" x14ac:dyDescent="0.2">
      <c r="D52" s="12" t="e">
        <f>#REF!</f>
        <v>#REF!</v>
      </c>
      <c r="G52" s="55" t="e">
        <f>ROUND(#REF!*$D$42,2)</f>
        <v>#REF!</v>
      </c>
      <c r="M52" s="55" t="e">
        <f>ROUND(#REF!*$D$42,2)</f>
        <v>#REF!</v>
      </c>
      <c r="S52" s="55" t="e">
        <f>ROUND(#REF!*$D$42,2)</f>
        <v>#REF!</v>
      </c>
      <c r="Y52" s="55" t="e">
        <f>ROUND(#REF!*$D$42,2)</f>
        <v>#REF!</v>
      </c>
    </row>
    <row r="53" spans="4:25" hidden="1" x14ac:dyDescent="0.2">
      <c r="D53" s="12" t="e">
        <f>#REF!</f>
        <v>#REF!</v>
      </c>
      <c r="G53" s="55" t="e">
        <f>ROUND(#REF!*$D$42,2)</f>
        <v>#REF!</v>
      </c>
      <c r="M53" s="55" t="e">
        <f>ROUND(#REF!*$D$42,2)</f>
        <v>#REF!</v>
      </c>
      <c r="S53" s="55" t="e">
        <f>ROUND(#REF!*$D$42,2)</f>
        <v>#REF!</v>
      </c>
      <c r="Y53" s="55" t="e">
        <f>ROUND(#REF!*$D$42,2)</f>
        <v>#REF!</v>
      </c>
    </row>
    <row r="54" spans="4:25" hidden="1" x14ac:dyDescent="0.2">
      <c r="D54" s="12" t="e">
        <f>#REF!</f>
        <v>#REF!</v>
      </c>
      <c r="G54" s="55" t="e">
        <f>ROUND(#REF!*$D$42,2)</f>
        <v>#REF!</v>
      </c>
      <c r="M54" s="55" t="e">
        <f>ROUND(#REF!*$D$42,2)</f>
        <v>#REF!</v>
      </c>
      <c r="S54" s="55" t="e">
        <f>ROUND(#REF!*$D$42,2)</f>
        <v>#REF!</v>
      </c>
      <c r="Y54" s="55" t="e">
        <f>ROUND(#REF!*$D$42,2)</f>
        <v>#REF!</v>
      </c>
    </row>
    <row r="55" spans="4:25" hidden="1" x14ac:dyDescent="0.2">
      <c r="D55" s="12" t="e">
        <f>#REF!</f>
        <v>#REF!</v>
      </c>
      <c r="G55" s="55" t="e">
        <f>ROUND(#REF!*$D$42,2)</f>
        <v>#REF!</v>
      </c>
      <c r="M55" s="55" t="e">
        <f>ROUND(#REF!*$D$42,2)</f>
        <v>#REF!</v>
      </c>
      <c r="S55" s="55" t="e">
        <f>ROUND(#REF!*$D$42,2)</f>
        <v>#REF!</v>
      </c>
      <c r="Y55" s="55" t="e">
        <f>ROUND(#REF!*$D$42,2)</f>
        <v>#REF!</v>
      </c>
    </row>
    <row r="56" spans="4:25" hidden="1" x14ac:dyDescent="0.2">
      <c r="D56" s="12" t="e">
        <f>#REF!</f>
        <v>#REF!</v>
      </c>
      <c r="G56" s="55" t="e">
        <f>ROUND(#REF!*$D$42,2)</f>
        <v>#REF!</v>
      </c>
      <c r="M56" s="55" t="e">
        <f>ROUND(#REF!*$D$42,2)</f>
        <v>#REF!</v>
      </c>
      <c r="S56" s="55" t="e">
        <f>ROUND(#REF!*$D$42,2)</f>
        <v>#REF!</v>
      </c>
      <c r="Y56" s="55" t="e">
        <f>ROUND(#REF!*$D$42,2)</f>
        <v>#REF!</v>
      </c>
    </row>
    <row r="57" spans="4:25" hidden="1" x14ac:dyDescent="0.2">
      <c r="D57" s="12" t="e">
        <f>#REF!</f>
        <v>#REF!</v>
      </c>
      <c r="G57" s="55" t="e">
        <f>ROUND(#REF!*$D$42,2)</f>
        <v>#REF!</v>
      </c>
      <c r="M57" s="55" t="e">
        <f>ROUND(#REF!*$D$42,2)</f>
        <v>#REF!</v>
      </c>
      <c r="S57" s="55" t="e">
        <f>ROUND(#REF!*$D$42,2)</f>
        <v>#REF!</v>
      </c>
      <c r="Y57" s="55" t="e">
        <f>ROUND(#REF!*$D$42,2)</f>
        <v>#REF!</v>
      </c>
    </row>
    <row r="58" spans="4:25" hidden="1" x14ac:dyDescent="0.2">
      <c r="G58" s="55"/>
      <c r="M58" s="55"/>
      <c r="S58" s="55"/>
      <c r="Y58" s="55"/>
    </row>
    <row r="59" spans="4:25" hidden="1" x14ac:dyDescent="0.2"/>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B966C-BFF1-4A2A-BFA2-0935DFAAA8ED}">
  <dimension ref="B1:AI60"/>
  <sheetViews>
    <sheetView showGridLines="0" tabSelected="1" zoomScaleNormal="100" workbookViewId="0">
      <selection activeCell="J15" sqref="J15"/>
    </sheetView>
  </sheetViews>
  <sheetFormatPr defaultRowHeight="12.75" x14ac:dyDescent="0.2"/>
  <cols>
    <col min="1" max="1" width="11.375" style="12" customWidth="1"/>
    <col min="2" max="2" width="11.375" style="57" customWidth="1"/>
    <col min="3" max="3" width="1.625" style="12" customWidth="1"/>
    <col min="4" max="4" width="29.25" style="12" customWidth="1"/>
    <col min="5" max="5" width="1.5" style="12" hidden="1" customWidth="1"/>
    <col min="6" max="6" width="8.875" style="12" hidden="1" customWidth="1"/>
    <col min="7" max="7" width="5.75" style="54" customWidth="1"/>
    <col min="8" max="8" width="4" style="12" hidden="1" customWidth="1"/>
    <col min="9" max="9" width="1.25" style="19" customWidth="1"/>
    <col min="10" max="10" width="29.625" style="12" bestFit="1" customWidth="1"/>
    <col min="11" max="12" width="4" style="12" hidden="1" customWidth="1"/>
    <col min="13" max="13" width="5.375" style="54" customWidth="1"/>
    <col min="14" max="14" width="4" style="12" hidden="1" customWidth="1"/>
    <col min="15" max="15" width="1.125" style="19" customWidth="1"/>
    <col min="16" max="16" width="29.5" style="12" customWidth="1"/>
    <col min="17" max="18" width="0.75" style="12" customWidth="1"/>
    <col min="19" max="19" width="5.375" style="54" bestFit="1" customWidth="1"/>
    <col min="20" max="20" width="4" style="12" hidden="1" customWidth="1"/>
    <col min="21" max="21" width="1.125" style="19" customWidth="1"/>
    <col min="22" max="22" width="31" style="12" bestFit="1" customWidth="1"/>
    <col min="23" max="24" width="4" style="12" hidden="1" customWidth="1"/>
    <col min="25" max="25" width="5.375" style="54" bestFit="1" customWidth="1"/>
    <col min="26" max="26" width="1.125" style="74" customWidth="1"/>
    <col min="27" max="27" width="3.5" style="74" hidden="1" customWidth="1"/>
    <col min="28" max="28" width="29.625" style="12" bestFit="1" customWidth="1"/>
    <col min="29" max="29" width="4" style="12" hidden="1" customWidth="1"/>
    <col min="30" max="30" width="5.375" style="12" bestFit="1" customWidth="1"/>
    <col min="31" max="32" width="8.125" style="17" customWidth="1"/>
    <col min="33" max="16384" width="9" style="12"/>
  </cols>
  <sheetData>
    <row r="1" spans="2:35" ht="12.75" customHeight="1" x14ac:dyDescent="0.2"/>
    <row r="2" spans="2:35" ht="12.75" customHeight="1" x14ac:dyDescent="0.2">
      <c r="B2" s="1"/>
      <c r="C2" s="2"/>
      <c r="D2" s="78" t="s">
        <v>1</v>
      </c>
      <c r="E2" s="78"/>
      <c r="F2" s="78"/>
      <c r="G2" s="79"/>
      <c r="H2" s="78"/>
      <c r="I2" s="80"/>
      <c r="J2" s="81" t="s">
        <v>5</v>
      </c>
      <c r="K2" s="78"/>
      <c r="L2" s="78"/>
      <c r="M2" s="79"/>
      <c r="N2" s="78"/>
      <c r="O2" s="82"/>
      <c r="P2" s="83" t="s">
        <v>2</v>
      </c>
      <c r="Q2" s="78"/>
      <c r="R2" s="78"/>
      <c r="S2" s="79"/>
      <c r="T2" s="83"/>
      <c r="U2" s="84"/>
      <c r="V2" s="85" t="s">
        <v>3</v>
      </c>
      <c r="W2" s="2"/>
      <c r="X2" s="2"/>
      <c r="Y2" s="11"/>
      <c r="Z2" s="67"/>
      <c r="AA2" s="67"/>
      <c r="AB2" s="88" t="s">
        <v>4</v>
      </c>
      <c r="AC2" s="2"/>
      <c r="AD2" s="2"/>
    </row>
    <row r="3" spans="2:35" s="17" customFormat="1" x14ac:dyDescent="0.2">
      <c r="B3" s="13" t="s">
        <v>6</v>
      </c>
      <c r="C3" s="14"/>
      <c r="D3" s="14"/>
      <c r="E3" s="14"/>
      <c r="F3" s="14"/>
      <c r="G3" s="15">
        <f>SUM(G4:G6)</f>
        <v>0.2</v>
      </c>
      <c r="H3" s="14"/>
      <c r="I3" s="16"/>
      <c r="J3" s="14"/>
      <c r="K3" s="14"/>
      <c r="L3" s="14"/>
      <c r="M3" s="15">
        <f>SUM(M4:M6)</f>
        <v>0.2</v>
      </c>
      <c r="N3" s="14"/>
      <c r="O3" s="16"/>
      <c r="P3" s="14"/>
      <c r="Q3" s="14"/>
      <c r="R3" s="14"/>
      <c r="S3" s="15">
        <f>SUM(S4:S6)</f>
        <v>0.2</v>
      </c>
      <c r="T3" s="14"/>
      <c r="U3" s="16"/>
      <c r="V3" s="14"/>
      <c r="W3" s="14"/>
      <c r="X3" s="14"/>
      <c r="Y3" s="15">
        <f>SUM(Y4:Y6)</f>
        <v>0.25</v>
      </c>
      <c r="Z3" s="68"/>
      <c r="AA3" s="68"/>
      <c r="AB3" s="14"/>
      <c r="AC3" s="14"/>
      <c r="AD3" s="15">
        <f>SUM(AD4:AD6)</f>
        <v>0.25</v>
      </c>
    </row>
    <row r="4" spans="2:35" s="19" customFormat="1" x14ac:dyDescent="0.2">
      <c r="B4" s="18" t="s">
        <v>7</v>
      </c>
      <c r="D4" s="20" t="s">
        <v>8</v>
      </c>
      <c r="E4" s="20"/>
      <c r="F4" s="20"/>
      <c r="G4" s="21">
        <v>5.0000000000000001E-3</v>
      </c>
      <c r="H4" s="20"/>
      <c r="J4" s="22" t="s">
        <v>9</v>
      </c>
      <c r="K4" s="20"/>
      <c r="L4" s="20"/>
      <c r="M4" s="21">
        <v>5.0000000000000001E-3</v>
      </c>
      <c r="N4" s="20"/>
      <c r="P4" s="22" t="s">
        <v>8</v>
      </c>
      <c r="Q4" s="23"/>
      <c r="R4" s="23"/>
      <c r="S4" s="24">
        <v>5.0000000000000001E-3</v>
      </c>
      <c r="T4" s="20"/>
      <c r="V4" s="20" t="s">
        <v>9</v>
      </c>
      <c r="Y4" s="21">
        <v>5.0000000000000001E-3</v>
      </c>
      <c r="Z4" s="39"/>
      <c r="AA4" s="39"/>
      <c r="AB4" s="20" t="s">
        <v>9</v>
      </c>
      <c r="AD4" s="21">
        <v>5.0000000000000001E-3</v>
      </c>
      <c r="AE4" s="16"/>
      <c r="AF4" s="16"/>
    </row>
    <row r="5" spans="2:35" s="19" customFormat="1" x14ac:dyDescent="0.2">
      <c r="B5" s="18" t="s">
        <v>10</v>
      </c>
      <c r="D5" s="20" t="s">
        <v>11</v>
      </c>
      <c r="E5" s="20"/>
      <c r="F5" s="20"/>
      <c r="G5" s="21">
        <v>0.19500000000000001</v>
      </c>
      <c r="H5" s="20"/>
      <c r="J5" s="22" t="s">
        <v>11</v>
      </c>
      <c r="K5" s="20"/>
      <c r="L5" s="20"/>
      <c r="M5" s="21">
        <v>0.19500000000000001</v>
      </c>
      <c r="N5" s="20"/>
      <c r="O5" s="20"/>
      <c r="P5" s="22" t="s">
        <v>12</v>
      </c>
      <c r="Q5" s="20"/>
      <c r="R5" s="20"/>
      <c r="S5" s="21">
        <v>0.14499999999999999</v>
      </c>
      <c r="T5" s="20"/>
      <c r="U5" s="20"/>
      <c r="V5" s="20" t="s">
        <v>13</v>
      </c>
      <c r="Y5" s="21">
        <v>0.245</v>
      </c>
      <c r="Z5" s="39"/>
      <c r="AA5" s="39"/>
      <c r="AB5" s="20" t="s">
        <v>11</v>
      </c>
      <c r="AD5" s="21">
        <v>0.245</v>
      </c>
      <c r="AE5" s="16"/>
      <c r="AF5" s="16"/>
    </row>
    <row r="6" spans="2:35" s="19" customFormat="1" x14ac:dyDescent="0.2">
      <c r="B6" s="18"/>
      <c r="D6" s="20"/>
      <c r="E6" s="20"/>
      <c r="F6" s="20"/>
      <c r="G6" s="21"/>
      <c r="H6" s="20"/>
      <c r="J6" s="89"/>
      <c r="K6" s="89"/>
      <c r="L6" s="89"/>
      <c r="M6" s="90"/>
      <c r="N6" s="89"/>
      <c r="O6" s="89"/>
      <c r="P6" s="22" t="s">
        <v>65</v>
      </c>
      <c r="Q6" s="22"/>
      <c r="R6" s="22"/>
      <c r="S6" s="24">
        <v>0.05</v>
      </c>
      <c r="T6" s="20"/>
      <c r="U6" s="20"/>
      <c r="V6" s="20"/>
      <c r="Y6" s="21"/>
      <c r="Z6" s="39"/>
      <c r="AA6" s="39"/>
      <c r="AB6" s="20"/>
      <c r="AE6" s="16"/>
      <c r="AF6" s="16"/>
    </row>
    <row r="7" spans="2:35" s="17" customFormat="1" x14ac:dyDescent="0.2">
      <c r="B7" s="26" t="s">
        <v>14</v>
      </c>
      <c r="C7" s="27"/>
      <c r="D7" s="27"/>
      <c r="E7" s="27"/>
      <c r="F7" s="27"/>
      <c r="G7" s="28">
        <f>SUM(G8:G15)</f>
        <v>0.2</v>
      </c>
      <c r="H7" s="27"/>
      <c r="I7" s="29"/>
      <c r="J7" s="27"/>
      <c r="K7" s="27"/>
      <c r="L7" s="27"/>
      <c r="M7" s="28">
        <f>SUM(M8:M15)</f>
        <v>0.19999999999999998</v>
      </c>
      <c r="N7" s="27"/>
      <c r="O7" s="29"/>
      <c r="P7" s="27"/>
      <c r="Q7" s="27"/>
      <c r="R7" s="27"/>
      <c r="S7" s="28">
        <f>SUM(S8:S15)</f>
        <v>0.2</v>
      </c>
      <c r="T7" s="27"/>
      <c r="U7" s="29"/>
      <c r="V7" s="27"/>
      <c r="W7" s="27"/>
      <c r="X7" s="27"/>
      <c r="Y7" s="28">
        <f>SUM(Y8:Y15)</f>
        <v>0.15</v>
      </c>
      <c r="Z7" s="69"/>
      <c r="AA7" s="69"/>
      <c r="AB7" s="27"/>
      <c r="AC7" s="27"/>
      <c r="AD7" s="28">
        <f>SUM(AD8:AD15)</f>
        <v>0.15000000000000002</v>
      </c>
    </row>
    <row r="8" spans="2:35" s="19" customFormat="1" x14ac:dyDescent="0.2">
      <c r="B8" s="18" t="s">
        <v>0</v>
      </c>
      <c r="D8" s="33" t="s">
        <v>15</v>
      </c>
      <c r="E8" s="33"/>
      <c r="F8" s="33"/>
      <c r="G8" s="106">
        <v>0.06</v>
      </c>
      <c r="H8" s="33"/>
      <c r="I8" s="33"/>
      <c r="J8" s="25" t="s">
        <v>16</v>
      </c>
      <c r="K8" s="33"/>
      <c r="L8" s="33"/>
      <c r="M8" s="106">
        <v>0.06</v>
      </c>
      <c r="N8" s="33"/>
      <c r="O8" s="25"/>
      <c r="P8" s="25"/>
      <c r="Q8" s="25"/>
      <c r="R8" s="25"/>
      <c r="S8" s="25"/>
      <c r="T8" s="34"/>
      <c r="U8" s="25"/>
      <c r="V8" s="25" t="s">
        <v>16</v>
      </c>
      <c r="W8" s="25"/>
      <c r="X8" s="25"/>
      <c r="Y8" s="106">
        <v>0.06</v>
      </c>
      <c r="Z8" s="108"/>
      <c r="AA8" s="108"/>
      <c r="AB8" s="25"/>
      <c r="AC8" s="25"/>
      <c r="AD8" s="25"/>
      <c r="AE8" s="16"/>
      <c r="AF8" s="16"/>
      <c r="AG8" s="16"/>
      <c r="AH8" s="16"/>
      <c r="AI8" s="16"/>
    </row>
    <row r="9" spans="2:35" s="19" customFormat="1" x14ac:dyDescent="0.2">
      <c r="B9" s="18" t="s">
        <v>17</v>
      </c>
      <c r="D9" s="25" t="s">
        <v>18</v>
      </c>
      <c r="E9" s="25"/>
      <c r="F9" s="25"/>
      <c r="G9" s="106">
        <v>0.04</v>
      </c>
      <c r="H9" s="25"/>
      <c r="I9" s="25"/>
      <c r="J9" s="38" t="s">
        <v>83</v>
      </c>
      <c r="K9" s="38"/>
      <c r="L9" s="38"/>
      <c r="M9" s="108">
        <v>0.03</v>
      </c>
      <c r="N9" s="38"/>
      <c r="O9" s="38"/>
      <c r="P9" s="38" t="s">
        <v>83</v>
      </c>
      <c r="Q9" s="38"/>
      <c r="R9" s="38"/>
      <c r="S9" s="108">
        <v>0.06</v>
      </c>
      <c r="T9" s="25"/>
      <c r="U9" s="25"/>
      <c r="V9" s="25"/>
      <c r="W9" s="25"/>
      <c r="X9" s="25"/>
      <c r="Y9" s="25"/>
      <c r="Z9" s="38"/>
      <c r="AA9" s="38"/>
      <c r="AB9" s="38" t="s">
        <v>83</v>
      </c>
      <c r="AC9" s="25"/>
      <c r="AD9" s="106">
        <v>0.05</v>
      </c>
      <c r="AF9" s="16"/>
      <c r="AG9" s="16"/>
      <c r="AH9" s="16"/>
      <c r="AI9" s="16"/>
    </row>
    <row r="10" spans="2:35" s="19" customFormat="1" x14ac:dyDescent="0.2">
      <c r="B10" s="18"/>
      <c r="D10" s="25" t="s">
        <v>19</v>
      </c>
      <c r="E10" s="25"/>
      <c r="F10" s="25"/>
      <c r="G10" s="106">
        <v>0.04</v>
      </c>
      <c r="H10" s="25"/>
      <c r="I10" s="25"/>
      <c r="J10" s="25"/>
      <c r="K10" s="25"/>
      <c r="L10" s="25"/>
      <c r="M10" s="25"/>
      <c r="N10" s="25"/>
      <c r="O10" s="25"/>
      <c r="P10" s="25" t="s">
        <v>18</v>
      </c>
      <c r="Q10" s="25"/>
      <c r="R10" s="25"/>
      <c r="S10" s="106">
        <v>0.04</v>
      </c>
      <c r="T10" s="25"/>
      <c r="U10" s="25"/>
      <c r="V10" s="25"/>
      <c r="W10" s="25"/>
      <c r="X10" s="25"/>
      <c r="Y10" s="25"/>
      <c r="Z10" s="38"/>
      <c r="AA10" s="38"/>
      <c r="AB10" s="25" t="s">
        <v>18</v>
      </c>
      <c r="AC10" s="25"/>
      <c r="AD10" s="106">
        <v>0.05</v>
      </c>
      <c r="AE10" s="31"/>
      <c r="AF10" s="16"/>
      <c r="AG10" s="16"/>
      <c r="AH10" s="16"/>
      <c r="AI10" s="16"/>
    </row>
    <row r="11" spans="2:35" s="19" customFormat="1" x14ac:dyDescent="0.2">
      <c r="B11" s="18" t="s">
        <v>20</v>
      </c>
      <c r="D11" s="25" t="s">
        <v>21</v>
      </c>
      <c r="E11" s="25"/>
      <c r="F11" s="25"/>
      <c r="G11" s="106">
        <v>0.03</v>
      </c>
      <c r="H11" s="25"/>
      <c r="I11" s="25"/>
      <c r="J11" s="25" t="s">
        <v>21</v>
      </c>
      <c r="K11" s="25"/>
      <c r="L11" s="25"/>
      <c r="M11" s="106">
        <v>0.03</v>
      </c>
      <c r="N11" s="25"/>
      <c r="O11" s="25"/>
      <c r="P11" s="38"/>
      <c r="Q11" s="38"/>
      <c r="R11" s="38"/>
      <c r="S11" s="38"/>
      <c r="T11" s="25"/>
      <c r="U11" s="25"/>
      <c r="V11" s="25" t="s">
        <v>21</v>
      </c>
      <c r="W11" s="25"/>
      <c r="X11" s="25"/>
      <c r="Y11" s="106">
        <v>0.03</v>
      </c>
      <c r="Z11" s="108"/>
      <c r="AA11" s="108"/>
      <c r="AB11" s="25"/>
      <c r="AC11" s="25"/>
      <c r="AD11" s="25"/>
      <c r="AE11" s="16"/>
      <c r="AF11" s="16"/>
      <c r="AG11" s="16"/>
      <c r="AH11" s="16"/>
      <c r="AI11" s="16"/>
    </row>
    <row r="12" spans="2:35" s="19" customFormat="1" x14ac:dyDescent="0.2">
      <c r="B12" s="18"/>
      <c r="D12" s="25"/>
      <c r="E12" s="25"/>
      <c r="F12" s="25"/>
      <c r="G12" s="106"/>
      <c r="H12" s="25"/>
      <c r="I12" s="25"/>
      <c r="J12" s="25" t="s">
        <v>22</v>
      </c>
      <c r="K12" s="25"/>
      <c r="L12" s="25"/>
      <c r="M12" s="106">
        <v>0.02</v>
      </c>
      <c r="N12" s="25"/>
      <c r="O12" s="25"/>
      <c r="P12" s="25"/>
      <c r="Q12" s="25"/>
      <c r="R12" s="25"/>
      <c r="S12" s="112"/>
      <c r="T12" s="25"/>
      <c r="U12" s="25"/>
      <c r="V12" s="25" t="s">
        <v>22</v>
      </c>
      <c r="W12" s="25"/>
      <c r="X12" s="25"/>
      <c r="Y12" s="106">
        <v>0.02</v>
      </c>
      <c r="Z12" s="108"/>
      <c r="AA12" s="108"/>
      <c r="AB12" s="25" t="s">
        <v>66</v>
      </c>
      <c r="AC12" s="25"/>
      <c r="AD12" s="106">
        <v>0.05</v>
      </c>
      <c r="AE12" s="16"/>
      <c r="AF12" s="16"/>
      <c r="AG12" s="16"/>
      <c r="AH12" s="16"/>
      <c r="AI12" s="16"/>
    </row>
    <row r="13" spans="2:35" s="19" customFormat="1" x14ac:dyDescent="0.2">
      <c r="B13" s="18"/>
      <c r="D13" s="25"/>
      <c r="E13" s="25"/>
      <c r="F13" s="25"/>
      <c r="G13" s="106"/>
      <c r="H13" s="25"/>
      <c r="I13" s="25"/>
      <c r="J13" s="25" t="s">
        <v>94</v>
      </c>
      <c r="K13" s="25"/>
      <c r="L13" s="25"/>
      <c r="M13" s="106">
        <v>0.03</v>
      </c>
      <c r="N13" s="25"/>
      <c r="O13" s="25"/>
      <c r="P13" s="25" t="s">
        <v>94</v>
      </c>
      <c r="Q13" s="25"/>
      <c r="R13" s="25"/>
      <c r="S13" s="106">
        <v>0.05</v>
      </c>
      <c r="T13" s="25"/>
      <c r="U13" s="25"/>
      <c r="V13" s="25" t="s">
        <v>94</v>
      </c>
      <c r="W13" s="25"/>
      <c r="X13" s="25"/>
      <c r="Y13" s="106">
        <v>0.04</v>
      </c>
      <c r="Z13" s="108"/>
      <c r="AA13" s="108"/>
      <c r="AB13" s="25"/>
      <c r="AC13" s="25"/>
      <c r="AD13" s="106"/>
      <c r="AE13" s="77"/>
      <c r="AF13" s="16"/>
      <c r="AG13" s="16"/>
      <c r="AH13" s="16"/>
      <c r="AI13" s="16"/>
    </row>
    <row r="14" spans="2:35" s="19" customFormat="1" x14ac:dyDescent="0.2">
      <c r="B14" s="18" t="s">
        <v>23</v>
      </c>
      <c r="D14" s="34" t="s">
        <v>24</v>
      </c>
      <c r="E14" s="25"/>
      <c r="F14" s="25"/>
      <c r="G14" s="106">
        <v>0.03</v>
      </c>
      <c r="H14" s="25"/>
      <c r="I14" s="25"/>
      <c r="J14" s="34" t="s">
        <v>24</v>
      </c>
      <c r="K14" s="25"/>
      <c r="L14" s="25"/>
      <c r="M14" s="106">
        <v>0.03</v>
      </c>
      <c r="N14" s="25"/>
      <c r="O14" s="25"/>
      <c r="P14" s="34" t="s">
        <v>24</v>
      </c>
      <c r="Q14" s="33"/>
      <c r="R14" s="33"/>
      <c r="S14" s="106">
        <v>0.05</v>
      </c>
      <c r="T14" s="25"/>
      <c r="U14" s="25"/>
      <c r="V14" s="25"/>
      <c r="W14" s="25"/>
      <c r="X14" s="25"/>
      <c r="Y14" s="24"/>
      <c r="Z14" s="61"/>
      <c r="AA14" s="61"/>
      <c r="AB14" s="25"/>
      <c r="AC14" s="25"/>
      <c r="AD14" s="25"/>
      <c r="AE14" s="16"/>
      <c r="AF14" s="16"/>
      <c r="AG14" s="16"/>
      <c r="AH14" s="16"/>
      <c r="AI14" s="16"/>
    </row>
    <row r="15" spans="2:35" s="19" customFormat="1" x14ac:dyDescent="0.2">
      <c r="B15" s="18"/>
      <c r="D15" s="34"/>
      <c r="E15" s="25"/>
      <c r="F15" s="25"/>
      <c r="G15" s="106"/>
      <c r="H15" s="25"/>
      <c r="I15" s="25"/>
      <c r="J15" s="34"/>
      <c r="K15" s="25"/>
      <c r="L15" s="25"/>
      <c r="M15" s="106"/>
      <c r="N15" s="25"/>
      <c r="O15" s="25"/>
      <c r="P15" s="34"/>
      <c r="Q15" s="33"/>
      <c r="R15" s="33"/>
      <c r="S15" s="106"/>
      <c r="T15" s="25"/>
      <c r="U15" s="25"/>
      <c r="V15" s="25"/>
      <c r="W15" s="25"/>
      <c r="X15" s="25"/>
      <c r="Y15" s="24"/>
      <c r="Z15" s="61"/>
      <c r="AA15" s="61"/>
      <c r="AB15" s="25"/>
      <c r="AC15" s="25"/>
      <c r="AD15" s="25"/>
      <c r="AE15" s="16"/>
      <c r="AF15" s="16"/>
      <c r="AG15" s="16"/>
      <c r="AH15" s="16"/>
      <c r="AI15" s="16"/>
    </row>
    <row r="16" spans="2:35" s="17" customFormat="1" x14ac:dyDescent="0.2">
      <c r="B16" s="35" t="s">
        <v>25</v>
      </c>
      <c r="C16" s="36"/>
      <c r="D16" s="36"/>
      <c r="E16" s="36"/>
      <c r="F16" s="36"/>
      <c r="G16" s="37">
        <f>SUM(G17:G26)</f>
        <v>0.60000000000000009</v>
      </c>
      <c r="H16" s="36"/>
      <c r="I16" s="29"/>
      <c r="J16" s="36"/>
      <c r="K16" s="36"/>
      <c r="L16" s="36"/>
      <c r="M16" s="37">
        <f>SUM(M17:M26)</f>
        <v>0.60000000000000009</v>
      </c>
      <c r="N16" s="36"/>
      <c r="O16" s="29"/>
      <c r="P16" s="36"/>
      <c r="Q16" s="36"/>
      <c r="R16" s="36"/>
      <c r="S16" s="37">
        <f>SUM(S17:S26)</f>
        <v>0.60000000000000009</v>
      </c>
      <c r="T16" s="36"/>
      <c r="U16" s="29"/>
      <c r="V16" s="36"/>
      <c r="W16" s="36"/>
      <c r="X16" s="36"/>
      <c r="Y16" s="37">
        <f>SUM(Y17:Y26)</f>
        <v>0.60000000000000009</v>
      </c>
      <c r="Z16" s="69"/>
      <c r="AA16" s="69"/>
      <c r="AB16" s="36"/>
      <c r="AC16" s="36"/>
      <c r="AD16" s="37">
        <f>SUM(AD17:AD26)</f>
        <v>0.60000000000000009</v>
      </c>
      <c r="AF16" s="16"/>
      <c r="AG16" s="16"/>
      <c r="AH16" s="16"/>
      <c r="AI16" s="16"/>
    </row>
    <row r="17" spans="2:35" s="19" customFormat="1" x14ac:dyDescent="0.2">
      <c r="B17" s="18" t="s">
        <v>26</v>
      </c>
      <c r="D17" s="19" t="s">
        <v>68</v>
      </c>
      <c r="G17" s="21">
        <v>0.3</v>
      </c>
      <c r="J17" s="19" t="s">
        <v>27</v>
      </c>
      <c r="K17" s="76"/>
      <c r="L17" s="76"/>
      <c r="M17" s="24">
        <v>0.3</v>
      </c>
      <c r="N17" s="76"/>
      <c r="O17" s="76"/>
      <c r="P17" s="25" t="s">
        <v>67</v>
      </c>
      <c r="Q17" s="25"/>
      <c r="R17" s="25"/>
      <c r="S17" s="24">
        <v>0.3</v>
      </c>
      <c r="T17" s="25"/>
      <c r="U17" s="25"/>
      <c r="V17" s="25" t="s">
        <v>67</v>
      </c>
      <c r="W17" s="25"/>
      <c r="X17" s="25"/>
      <c r="Y17" s="24">
        <v>0.3</v>
      </c>
      <c r="Z17" s="91"/>
      <c r="AA17" s="91"/>
      <c r="AB17" s="19" t="s">
        <v>27</v>
      </c>
      <c r="AC17" s="76"/>
      <c r="AD17" s="24">
        <v>0.3</v>
      </c>
      <c r="AE17" s="16"/>
      <c r="AF17" s="16"/>
      <c r="AG17" s="16"/>
      <c r="AH17" s="16"/>
      <c r="AI17" s="16"/>
    </row>
    <row r="18" spans="2:35" s="19" customFormat="1" x14ac:dyDescent="0.2">
      <c r="B18" s="18"/>
      <c r="G18" s="21"/>
      <c r="J18" s="25"/>
      <c r="M18" s="21"/>
      <c r="P18" s="25" t="s">
        <v>34</v>
      </c>
      <c r="S18" s="21">
        <v>0.05</v>
      </c>
      <c r="V18" s="25"/>
      <c r="Y18" s="21"/>
      <c r="Z18" s="39"/>
      <c r="AA18" s="39"/>
      <c r="AB18" s="25"/>
      <c r="AD18" s="21"/>
      <c r="AE18" s="16"/>
      <c r="AF18" s="16"/>
      <c r="AG18" s="16"/>
      <c r="AH18" s="16"/>
      <c r="AI18" s="16"/>
    </row>
    <row r="19" spans="2:35" s="19" customFormat="1" x14ac:dyDescent="0.2">
      <c r="B19" s="18" t="s">
        <v>28</v>
      </c>
      <c r="D19" s="19" t="s">
        <v>29</v>
      </c>
      <c r="G19" s="21">
        <v>0.14000000000000001</v>
      </c>
      <c r="J19" s="25" t="s">
        <v>30</v>
      </c>
      <c r="M19" s="21">
        <v>0.06</v>
      </c>
      <c r="P19" s="25" t="s">
        <v>30</v>
      </c>
      <c r="S19" s="21">
        <v>0.06</v>
      </c>
      <c r="V19" s="25" t="s">
        <v>30</v>
      </c>
      <c r="Y19" s="21">
        <v>0.06</v>
      </c>
      <c r="Z19" s="39"/>
      <c r="AA19" s="39"/>
      <c r="AE19" s="16"/>
      <c r="AF19" s="16"/>
      <c r="AG19" s="16"/>
      <c r="AH19" s="16"/>
      <c r="AI19" s="16"/>
    </row>
    <row r="20" spans="2:35" s="19" customFormat="1" x14ac:dyDescent="0.2">
      <c r="B20" s="18"/>
      <c r="D20" s="25" t="s">
        <v>31</v>
      </c>
      <c r="G20" s="21">
        <v>0.04</v>
      </c>
      <c r="J20" s="25" t="s">
        <v>31</v>
      </c>
      <c r="M20" s="21">
        <v>0.08</v>
      </c>
      <c r="P20" s="25"/>
      <c r="S20" s="21"/>
      <c r="V20" s="25" t="s">
        <v>31</v>
      </c>
      <c r="Y20" s="21">
        <v>7.0000000000000007E-2</v>
      </c>
      <c r="Z20" s="39"/>
      <c r="AA20" s="39"/>
      <c r="AB20" s="25" t="s">
        <v>31</v>
      </c>
      <c r="AD20" s="21">
        <v>0.11</v>
      </c>
      <c r="AE20" s="16"/>
      <c r="AF20" s="16"/>
      <c r="AG20" s="16"/>
      <c r="AH20" s="16"/>
      <c r="AI20" s="16"/>
    </row>
    <row r="21" spans="2:35" s="19" customFormat="1" x14ac:dyDescent="0.2">
      <c r="B21" s="18"/>
      <c r="D21" s="25" t="s">
        <v>32</v>
      </c>
      <c r="G21" s="21">
        <v>0.04</v>
      </c>
      <c r="J21" s="25" t="s">
        <v>32</v>
      </c>
      <c r="M21" s="21">
        <v>0.08</v>
      </c>
      <c r="P21" s="25" t="s">
        <v>32</v>
      </c>
      <c r="S21" s="21">
        <v>0.06</v>
      </c>
      <c r="V21" s="25" t="s">
        <v>32</v>
      </c>
      <c r="Y21" s="21">
        <v>7.0000000000000007E-2</v>
      </c>
      <c r="Z21" s="39"/>
      <c r="AA21" s="39"/>
      <c r="AB21" s="25" t="s">
        <v>32</v>
      </c>
      <c r="AD21" s="21">
        <v>0.11</v>
      </c>
      <c r="AE21" s="16"/>
      <c r="AF21" s="16"/>
      <c r="AG21" s="16"/>
      <c r="AH21" s="16"/>
      <c r="AI21" s="16"/>
    </row>
    <row r="22" spans="2:35" s="19" customFormat="1" x14ac:dyDescent="0.2">
      <c r="B22" s="18" t="s">
        <v>63</v>
      </c>
      <c r="G22" s="21"/>
      <c r="J22" s="25"/>
      <c r="M22" s="21"/>
      <c r="P22" s="25" t="s">
        <v>64</v>
      </c>
      <c r="S22" s="21">
        <v>0.05</v>
      </c>
      <c r="V22" s="25"/>
      <c r="Y22" s="21"/>
      <c r="Z22" s="39"/>
      <c r="AA22" s="39"/>
      <c r="AB22" s="25"/>
      <c r="AD22" s="21"/>
      <c r="AE22" s="16"/>
      <c r="AF22" s="16"/>
      <c r="AG22" s="16"/>
      <c r="AH22" s="16"/>
      <c r="AI22" s="16"/>
    </row>
    <row r="23" spans="2:35" s="19" customFormat="1" x14ac:dyDescent="0.2">
      <c r="B23" s="18"/>
      <c r="G23" s="21"/>
      <c r="J23" s="25"/>
      <c r="M23" s="21"/>
      <c r="P23" s="25"/>
      <c r="S23" s="21"/>
      <c r="V23" s="25"/>
      <c r="Y23" s="21"/>
      <c r="Z23" s="39"/>
      <c r="AA23" s="39"/>
      <c r="AB23" s="25"/>
      <c r="AD23" s="21"/>
      <c r="AE23" s="16"/>
      <c r="AF23" s="16"/>
      <c r="AG23" s="16"/>
      <c r="AH23" s="16"/>
      <c r="AI23" s="16"/>
    </row>
    <row r="24" spans="2:35" s="19" customFormat="1" x14ac:dyDescent="0.2">
      <c r="B24" s="18" t="s">
        <v>33</v>
      </c>
      <c r="D24" s="19" t="s">
        <v>62</v>
      </c>
      <c r="G24" s="21">
        <v>0.04</v>
      </c>
      <c r="J24" s="19" t="s">
        <v>62</v>
      </c>
      <c r="M24" s="21">
        <v>0.04</v>
      </c>
      <c r="P24" s="25" t="s">
        <v>96</v>
      </c>
      <c r="Q24" s="25"/>
      <c r="R24" s="25"/>
      <c r="S24" s="24">
        <v>0.04</v>
      </c>
      <c r="T24" s="76"/>
      <c r="U24" s="76"/>
      <c r="V24" s="38" t="s">
        <v>95</v>
      </c>
      <c r="W24" s="86"/>
      <c r="X24" s="86"/>
      <c r="Y24" s="24">
        <v>0.03</v>
      </c>
      <c r="Z24" s="91"/>
      <c r="AA24" s="91"/>
      <c r="AB24" s="86"/>
      <c r="AC24" s="86"/>
      <c r="AD24" s="90"/>
      <c r="AE24" s="16"/>
      <c r="AF24" s="16"/>
      <c r="AG24" s="16"/>
      <c r="AH24" s="16"/>
      <c r="AI24" s="16"/>
    </row>
    <row r="25" spans="2:35" s="19" customFormat="1" x14ac:dyDescent="0.2">
      <c r="B25" s="18"/>
      <c r="G25" s="21"/>
      <c r="J25" s="25"/>
      <c r="M25" s="21"/>
      <c r="V25" s="25" t="s">
        <v>36</v>
      </c>
      <c r="Y25" s="21">
        <v>0.03</v>
      </c>
      <c r="Z25" s="39"/>
      <c r="AA25" s="39"/>
      <c r="AB25" s="25" t="s">
        <v>34</v>
      </c>
      <c r="AD25" s="21">
        <v>0.04</v>
      </c>
      <c r="AE25" s="21"/>
      <c r="AF25" s="16"/>
      <c r="AG25" s="16"/>
      <c r="AH25" s="16"/>
      <c r="AI25" s="16"/>
    </row>
    <row r="26" spans="2:35" s="19" customFormat="1" ht="12" customHeight="1" x14ac:dyDescent="0.2">
      <c r="B26" s="18" t="s">
        <v>37</v>
      </c>
      <c r="D26" s="25" t="s">
        <v>38</v>
      </c>
      <c r="G26" s="21">
        <v>0.04</v>
      </c>
      <c r="J26" s="25" t="s">
        <v>38</v>
      </c>
      <c r="M26" s="21">
        <v>0.04</v>
      </c>
      <c r="P26" s="25" t="s">
        <v>38</v>
      </c>
      <c r="S26" s="21">
        <v>0.04</v>
      </c>
      <c r="V26" s="25" t="s">
        <v>38</v>
      </c>
      <c r="Y26" s="21">
        <v>0.04</v>
      </c>
      <c r="Z26" s="39"/>
      <c r="AA26" s="39"/>
      <c r="AB26" s="25" t="s">
        <v>38</v>
      </c>
      <c r="AD26" s="21">
        <v>0.04</v>
      </c>
      <c r="AE26" s="16"/>
      <c r="AF26" s="16"/>
      <c r="AG26" s="16"/>
      <c r="AH26" s="16"/>
      <c r="AI26" s="16"/>
    </row>
    <row r="27" spans="2:35" s="17" customFormat="1" x14ac:dyDescent="0.2">
      <c r="B27" s="40"/>
      <c r="C27" s="40"/>
      <c r="D27" s="41"/>
      <c r="E27" s="41"/>
      <c r="F27" s="41"/>
      <c r="G27" s="42"/>
      <c r="H27" s="43"/>
      <c r="I27" s="29"/>
      <c r="J27" s="41"/>
      <c r="K27" s="41"/>
      <c r="L27" s="41"/>
      <c r="M27" s="42"/>
      <c r="N27" s="43"/>
      <c r="O27" s="29"/>
      <c r="P27" s="41"/>
      <c r="Q27" s="41"/>
      <c r="R27" s="41"/>
      <c r="S27" s="42"/>
      <c r="T27" s="43"/>
      <c r="U27" s="29"/>
      <c r="V27" s="41"/>
      <c r="W27" s="41"/>
      <c r="X27" s="41"/>
      <c r="Y27" s="42"/>
      <c r="Z27" s="69"/>
      <c r="AA27" s="69"/>
      <c r="AB27" s="41"/>
      <c r="AC27" s="41"/>
      <c r="AD27" s="41"/>
    </row>
    <row r="28" spans="2:35" s="17" customFormat="1" x14ac:dyDescent="0.2">
      <c r="B28" s="44"/>
      <c r="C28" s="45"/>
      <c r="D28" s="45"/>
      <c r="E28" s="45"/>
      <c r="F28" s="45"/>
      <c r="G28" s="44">
        <f>G3+G7+G16+G27</f>
        <v>1</v>
      </c>
      <c r="H28" s="44">
        <f>H3+H7+H16+H27</f>
        <v>0</v>
      </c>
      <c r="I28" s="46">
        <f>I3+I7+I16+I27</f>
        <v>0</v>
      </c>
      <c r="J28" s="44"/>
      <c r="K28" s="44">
        <f>K3+K7+K16+K27</f>
        <v>0</v>
      </c>
      <c r="L28" s="44">
        <f>L3+L7+L16+L27</f>
        <v>0</v>
      </c>
      <c r="M28" s="44">
        <f>M3+M7+M16+M27</f>
        <v>1</v>
      </c>
      <c r="N28" s="44">
        <f>N3+N7+N16+N27</f>
        <v>0</v>
      </c>
      <c r="O28" s="46">
        <f>O3+O7+O16+O27</f>
        <v>0</v>
      </c>
      <c r="P28" s="44"/>
      <c r="Q28" s="44">
        <f>Q3+Q7+Q16+Q27</f>
        <v>0</v>
      </c>
      <c r="R28" s="44">
        <f>R3+R7+R16+R27</f>
        <v>0</v>
      </c>
      <c r="S28" s="44">
        <f>S3+S7+S16+S27</f>
        <v>1</v>
      </c>
      <c r="T28" s="44">
        <f>T3+T7+T16+T27</f>
        <v>0</v>
      </c>
      <c r="U28" s="46">
        <f>U3+U7+U16+U27</f>
        <v>0</v>
      </c>
      <c r="V28" s="44"/>
      <c r="W28" s="44">
        <f>W3+W7+W16+W27</f>
        <v>0</v>
      </c>
      <c r="X28" s="44">
        <f>X3+X7+X16+X27</f>
        <v>0</v>
      </c>
      <c r="Y28" s="44">
        <f>Y3+Y7+Y16+Y27</f>
        <v>1</v>
      </c>
      <c r="Z28" s="72"/>
      <c r="AA28" s="72"/>
      <c r="AB28" s="44"/>
      <c r="AC28" s="44">
        <f>AC3+AC7+AC16+AC27</f>
        <v>0</v>
      </c>
      <c r="AD28" s="44">
        <f>AD3+AD7+AD16+AD27</f>
        <v>1</v>
      </c>
    </row>
    <row r="29" spans="2:35" s="16" customFormat="1" x14ac:dyDescent="0.2">
      <c r="B29" s="46"/>
      <c r="C29" s="47"/>
      <c r="D29" s="47"/>
      <c r="E29" s="47"/>
      <c r="F29" s="47"/>
      <c r="G29" s="46"/>
      <c r="H29" s="46"/>
      <c r="I29" s="46"/>
      <c r="J29" s="46"/>
      <c r="K29" s="46"/>
      <c r="L29" s="46"/>
      <c r="M29" s="46"/>
      <c r="N29" s="46"/>
      <c r="O29" s="46"/>
      <c r="P29" s="46"/>
      <c r="Q29" s="46"/>
      <c r="R29" s="46"/>
      <c r="S29" s="46"/>
      <c r="T29" s="46"/>
      <c r="U29" s="46"/>
      <c r="V29" s="46"/>
      <c r="W29" s="46"/>
      <c r="X29" s="46"/>
      <c r="Y29" s="46"/>
      <c r="Z29" s="46"/>
      <c r="AA29" s="46"/>
      <c r="AB29" s="46"/>
      <c r="AC29" s="46"/>
      <c r="AD29" s="46"/>
    </row>
    <row r="30" spans="2:35" x14ac:dyDescent="0.2">
      <c r="B30" s="48" t="s">
        <v>50</v>
      </c>
      <c r="C30" s="49"/>
      <c r="D30" s="49"/>
      <c r="E30" s="49"/>
      <c r="F30" s="49"/>
      <c r="G30" s="50"/>
      <c r="H30" s="51"/>
      <c r="I30" s="51"/>
      <c r="J30" s="51"/>
      <c r="K30" s="51"/>
      <c r="L30" s="51"/>
      <c r="M30" s="50"/>
      <c r="N30" s="51"/>
      <c r="O30" s="51"/>
      <c r="P30" s="51"/>
      <c r="Q30" s="51"/>
      <c r="R30" s="51"/>
      <c r="S30" s="50"/>
      <c r="T30" s="51"/>
      <c r="U30" s="51"/>
      <c r="V30" s="51"/>
      <c r="W30" s="51"/>
      <c r="X30" s="52"/>
      <c r="Y30" s="50"/>
      <c r="Z30" s="50"/>
      <c r="AA30" s="50"/>
      <c r="AB30" s="49"/>
      <c r="AC30" s="49" t="s">
        <v>39</v>
      </c>
      <c r="AD30" s="49"/>
    </row>
    <row r="31" spans="2:35" s="19" customFormat="1" x14ac:dyDescent="0.2">
      <c r="B31" s="18"/>
      <c r="D31" s="20"/>
      <c r="E31" s="20"/>
      <c r="F31" s="20"/>
      <c r="G31" s="21"/>
      <c r="H31" s="20"/>
      <c r="J31" s="22" t="s">
        <v>51</v>
      </c>
      <c r="K31" s="20"/>
      <c r="L31" s="20"/>
      <c r="M31" s="21">
        <v>5.0000000000000001E-3</v>
      </c>
      <c r="N31" s="20"/>
      <c r="P31" s="25" t="s">
        <v>52</v>
      </c>
      <c r="Q31" s="20"/>
      <c r="R31" s="20"/>
      <c r="S31" s="21">
        <v>5.0000000000000001E-3</v>
      </c>
      <c r="V31" s="25" t="s">
        <v>53</v>
      </c>
      <c r="Y31" s="21">
        <v>5.0000000000000001E-3</v>
      </c>
      <c r="Z31" s="39"/>
      <c r="AA31" s="39"/>
      <c r="AB31" s="25"/>
      <c r="AE31" s="16"/>
      <c r="AF31" s="16"/>
    </row>
    <row r="32" spans="2:35" s="19" customFormat="1" x14ac:dyDescent="0.2">
      <c r="B32" s="18"/>
      <c r="G32" s="21"/>
      <c r="J32" s="22" t="s">
        <v>54</v>
      </c>
      <c r="M32" s="21">
        <v>5.0000000000000001E-3</v>
      </c>
      <c r="P32" s="25" t="s">
        <v>55</v>
      </c>
      <c r="S32" s="21">
        <v>5.0000000000000001E-3</v>
      </c>
      <c r="V32" s="19" t="s">
        <v>56</v>
      </c>
      <c r="Y32" s="21">
        <v>5.0000000000000001E-3</v>
      </c>
      <c r="Z32" s="39"/>
      <c r="AA32" s="39"/>
      <c r="AE32" s="16"/>
      <c r="AF32" s="16"/>
    </row>
    <row r="33" spans="2:32" s="19" customFormat="1" x14ac:dyDescent="0.2">
      <c r="B33" s="18"/>
      <c r="G33" s="21"/>
      <c r="J33" s="22" t="s">
        <v>57</v>
      </c>
      <c r="M33" s="21">
        <v>5.0000000000000001E-3</v>
      </c>
      <c r="P33" s="25" t="s">
        <v>58</v>
      </c>
      <c r="S33" s="21">
        <v>5.0000000000000001E-3</v>
      </c>
      <c r="V33" s="19" t="s">
        <v>57</v>
      </c>
      <c r="Y33" s="21">
        <v>5.0000000000000001E-3</v>
      </c>
      <c r="Z33" s="39"/>
      <c r="AA33" s="39"/>
      <c r="AE33" s="16"/>
      <c r="AF33" s="16"/>
    </row>
    <row r="34" spans="2:32" s="19" customFormat="1" x14ac:dyDescent="0.2">
      <c r="B34" s="18"/>
      <c r="G34" s="21"/>
      <c r="J34" s="22" t="s">
        <v>59</v>
      </c>
      <c r="M34" s="21">
        <v>5.0000000000000001E-3</v>
      </c>
      <c r="P34" s="25" t="s">
        <v>60</v>
      </c>
      <c r="S34" s="21">
        <v>5.0000000000000001E-3</v>
      </c>
      <c r="V34" s="19" t="s">
        <v>61</v>
      </c>
      <c r="Y34" s="21">
        <v>5.0000000000000001E-3</v>
      </c>
      <c r="Z34" s="39"/>
      <c r="AA34" s="39"/>
      <c r="AE34" s="16"/>
      <c r="AF34" s="16"/>
    </row>
    <row r="37" spans="2:32" x14ac:dyDescent="0.2">
      <c r="D37" s="92"/>
      <c r="E37" s="92"/>
      <c r="F37" s="92"/>
      <c r="G37" s="93"/>
      <c r="H37" s="92"/>
      <c r="I37" s="94"/>
      <c r="K37" s="92"/>
      <c r="L37" s="92"/>
      <c r="M37" s="93"/>
      <c r="N37" s="92"/>
      <c r="P37" s="95"/>
      <c r="Q37" s="92"/>
      <c r="R37" s="92"/>
      <c r="S37" s="93"/>
      <c r="T37" s="95"/>
      <c r="U37" s="96"/>
    </row>
    <row r="40" spans="2:32" x14ac:dyDescent="0.2">
      <c r="D40" s="53"/>
      <c r="P40" s="97"/>
      <c r="T40" s="97"/>
      <c r="U40" s="98"/>
    </row>
    <row r="41" spans="2:32" x14ac:dyDescent="0.2">
      <c r="D41" s="73"/>
    </row>
    <row r="42" spans="2:32" x14ac:dyDescent="0.2">
      <c r="D42" s="73"/>
      <c r="G42" s="17"/>
      <c r="M42" s="17"/>
      <c r="S42" s="17"/>
      <c r="Y42" s="17"/>
      <c r="AD42" s="17"/>
    </row>
    <row r="43" spans="2:32" x14ac:dyDescent="0.2">
      <c r="D43" s="73"/>
      <c r="G43" s="17"/>
      <c r="M43" s="17"/>
      <c r="S43" s="17"/>
      <c r="Y43" s="17"/>
      <c r="AD43" s="17"/>
    </row>
    <row r="44" spans="2:32" x14ac:dyDescent="0.2">
      <c r="D44" s="73"/>
      <c r="G44" s="17"/>
      <c r="M44" s="17"/>
      <c r="S44" s="17"/>
      <c r="Y44" s="17"/>
      <c r="AD44" s="17"/>
    </row>
    <row r="45" spans="2:32" x14ac:dyDescent="0.2">
      <c r="D45" s="73"/>
      <c r="G45" s="17"/>
      <c r="M45" s="17"/>
      <c r="S45" s="17"/>
      <c r="Y45" s="17"/>
      <c r="AD45" s="17"/>
    </row>
    <row r="46" spans="2:32" x14ac:dyDescent="0.2">
      <c r="D46" s="73"/>
      <c r="G46" s="17"/>
      <c r="M46" s="17"/>
      <c r="S46" s="17"/>
      <c r="Y46" s="17"/>
      <c r="AD46" s="17"/>
    </row>
    <row r="47" spans="2:32" x14ac:dyDescent="0.2">
      <c r="D47" s="73"/>
      <c r="G47" s="17"/>
      <c r="M47" s="17"/>
      <c r="S47" s="17"/>
      <c r="Y47" s="17"/>
      <c r="AD47" s="17"/>
    </row>
    <row r="48" spans="2:32" x14ac:dyDescent="0.2">
      <c r="D48" s="73"/>
      <c r="G48" s="17"/>
      <c r="M48" s="17"/>
      <c r="S48" s="17"/>
      <c r="Y48" s="17"/>
      <c r="AD48" s="17"/>
    </row>
    <row r="49" spans="4:30" x14ac:dyDescent="0.2">
      <c r="D49" s="73"/>
      <c r="G49" s="17"/>
      <c r="M49" s="17"/>
      <c r="S49" s="17"/>
      <c r="Y49" s="17"/>
      <c r="AD49" s="17"/>
    </row>
    <row r="50" spans="4:30" x14ac:dyDescent="0.2">
      <c r="D50" s="73"/>
      <c r="G50" s="17"/>
      <c r="M50" s="17"/>
      <c r="S50" s="17"/>
      <c r="Y50" s="17"/>
      <c r="AD50" s="17"/>
    </row>
    <row r="51" spans="4:30" x14ac:dyDescent="0.2">
      <c r="D51" s="73"/>
      <c r="G51" s="17"/>
      <c r="M51" s="17"/>
      <c r="S51" s="17"/>
      <c r="Y51" s="17"/>
      <c r="AD51" s="17"/>
    </row>
    <row r="52" spans="4:30" x14ac:dyDescent="0.2">
      <c r="D52" s="73"/>
      <c r="G52" s="17"/>
      <c r="M52" s="17"/>
      <c r="S52" s="17"/>
      <c r="Y52" s="17"/>
      <c r="AD52" s="17"/>
    </row>
    <row r="53" spans="4:30" x14ac:dyDescent="0.2">
      <c r="D53" s="73"/>
      <c r="G53" s="17"/>
      <c r="M53" s="17"/>
      <c r="S53" s="17"/>
      <c r="Y53" s="17"/>
      <c r="AD53" s="17"/>
    </row>
    <row r="54" spans="4:30" x14ac:dyDescent="0.2">
      <c r="D54" s="73"/>
      <c r="G54" s="17"/>
      <c r="M54" s="17"/>
      <c r="S54" s="17"/>
      <c r="Y54" s="17"/>
      <c r="AD54" s="17"/>
    </row>
    <row r="55" spans="4:30" x14ac:dyDescent="0.2">
      <c r="D55" s="73"/>
      <c r="G55" s="17"/>
      <c r="M55" s="17"/>
      <c r="S55" s="17"/>
      <c r="Y55" s="17"/>
      <c r="AD55" s="17"/>
    </row>
    <row r="56" spans="4:30" x14ac:dyDescent="0.2">
      <c r="D56" s="73"/>
      <c r="J56" s="73"/>
      <c r="K56" s="73"/>
      <c r="L56" s="73"/>
      <c r="M56" s="73"/>
      <c r="N56" s="73"/>
      <c r="O56" s="73"/>
      <c r="P56" s="73"/>
      <c r="Q56" s="73"/>
      <c r="R56" s="73"/>
      <c r="S56" s="73"/>
      <c r="T56" s="73"/>
      <c r="U56" s="73"/>
      <c r="V56" s="73"/>
      <c r="W56" s="73"/>
      <c r="X56" s="73"/>
      <c r="Y56" s="73"/>
      <c r="Z56" s="73"/>
      <c r="AA56" s="73"/>
    </row>
    <row r="57" spans="4:30" x14ac:dyDescent="0.2">
      <c r="J57" s="73"/>
      <c r="K57" s="73"/>
      <c r="L57" s="73"/>
      <c r="M57" s="73"/>
      <c r="N57" s="73"/>
      <c r="O57" s="73"/>
      <c r="P57" s="73"/>
      <c r="Q57" s="73"/>
      <c r="R57" s="73"/>
      <c r="S57" s="73"/>
      <c r="T57" s="73"/>
      <c r="U57" s="73"/>
      <c r="V57" s="73"/>
      <c r="W57" s="73"/>
      <c r="X57" s="73"/>
      <c r="Y57" s="73"/>
      <c r="Z57" s="73"/>
      <c r="AA57" s="73"/>
    </row>
    <row r="58" spans="4:30" x14ac:dyDescent="0.2">
      <c r="J58" s="73"/>
      <c r="K58" s="73"/>
      <c r="L58" s="73"/>
      <c r="M58" s="73"/>
      <c r="N58" s="73"/>
      <c r="O58" s="73"/>
      <c r="P58" s="73"/>
      <c r="Q58" s="73"/>
      <c r="R58" s="73"/>
      <c r="S58" s="73"/>
      <c r="T58" s="73"/>
      <c r="U58" s="73"/>
      <c r="V58" s="73"/>
      <c r="W58" s="73"/>
      <c r="X58" s="73"/>
      <c r="Y58" s="73"/>
      <c r="Z58" s="73" t="e">
        <f>#REF!</f>
        <v>#REF!</v>
      </c>
      <c r="AA58" s="73" t="e">
        <f>#REF!</f>
        <v>#REF!</v>
      </c>
    </row>
    <row r="59" spans="4:30" x14ac:dyDescent="0.2">
      <c r="J59" s="73"/>
    </row>
    <row r="60" spans="4:30" x14ac:dyDescent="0.2">
      <c r="J60" s="7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6028-F564-4D05-87F3-C1C7D5A280B2}">
  <dimension ref="B2:AD59"/>
  <sheetViews>
    <sheetView showGridLines="0" zoomScaleNormal="100" workbookViewId="0">
      <selection activeCell="K47" sqref="K47"/>
    </sheetView>
  </sheetViews>
  <sheetFormatPr defaultColWidth="9" defaultRowHeight="12.75" x14ac:dyDescent="0.2"/>
  <cols>
    <col min="1" max="1" width="5.5" style="12" customWidth="1"/>
    <col min="2" max="2" width="15.5" style="57" customWidth="1"/>
    <col min="3" max="3" width="1.625" style="12" customWidth="1"/>
    <col min="4" max="4" width="29.875" style="12" customWidth="1"/>
    <col min="5" max="5" width="4.75" style="12" customWidth="1"/>
    <col min="6" max="6" width="0.875" style="12" customWidth="1"/>
    <col min="7" max="7" width="7.125" style="54" customWidth="1"/>
    <col min="8" max="8" width="3.375" style="12" hidden="1" customWidth="1"/>
    <col min="9" max="9" width="1.125" style="19" customWidth="1"/>
    <col min="10" max="10" width="35.625" style="12" customWidth="1"/>
    <col min="11" max="11" width="1.5" style="12" customWidth="1"/>
    <col min="12" max="12" width="0.625" style="12" customWidth="1"/>
    <col min="13" max="13" width="5.875" style="54" customWidth="1"/>
    <col min="14" max="14" width="0.375" style="12" customWidth="1"/>
    <col min="15" max="15" width="1" style="19" customWidth="1"/>
    <col min="16" max="16" width="35.625" style="12" customWidth="1"/>
    <col min="17" max="18" width="3.375" style="12" hidden="1" customWidth="1"/>
    <col min="19" max="19" width="7.375" style="54" customWidth="1"/>
    <col min="20" max="20" width="2.875" style="12" hidden="1" customWidth="1"/>
    <col min="21" max="21" width="1" style="19" customWidth="1"/>
    <col min="22" max="22" width="33.875" style="12" customWidth="1"/>
    <col min="23" max="24" width="2.5" style="12" hidden="1" customWidth="1"/>
    <col min="25" max="25" width="7.375" style="54" customWidth="1"/>
    <col min="26" max="26" width="4.875" style="12" customWidth="1"/>
    <col min="27" max="27" width="7.375" style="12" customWidth="1"/>
    <col min="28" max="16384" width="9" style="12"/>
  </cols>
  <sheetData>
    <row r="2" spans="2:26" ht="15.75" x14ac:dyDescent="0.2">
      <c r="B2" s="1"/>
      <c r="C2" s="2"/>
      <c r="D2" s="3" t="s">
        <v>1</v>
      </c>
      <c r="E2" s="3"/>
      <c r="F2" s="3"/>
      <c r="G2" s="4"/>
      <c r="H2" s="3"/>
      <c r="I2" s="5"/>
      <c r="J2" s="6" t="s">
        <v>5</v>
      </c>
      <c r="K2" s="3"/>
      <c r="L2" s="3"/>
      <c r="M2" s="4"/>
      <c r="N2" s="3"/>
      <c r="O2" s="7"/>
      <c r="P2" s="8" t="s">
        <v>2</v>
      </c>
      <c r="Q2" s="3"/>
      <c r="R2" s="3"/>
      <c r="S2" s="4"/>
      <c r="T2" s="8"/>
      <c r="U2" s="9"/>
      <c r="V2" s="10" t="s">
        <v>3</v>
      </c>
      <c r="W2" s="2"/>
      <c r="X2" s="2"/>
      <c r="Y2" s="11"/>
    </row>
    <row r="3" spans="2:26" s="17" customFormat="1" x14ac:dyDescent="0.2">
      <c r="B3" s="13" t="s">
        <v>6</v>
      </c>
      <c r="C3" s="14"/>
      <c r="D3" s="14"/>
      <c r="E3" s="14"/>
      <c r="F3" s="14"/>
      <c r="G3" s="15">
        <f>SUM(G4:G6)</f>
        <v>0.15</v>
      </c>
      <c r="H3" s="14"/>
      <c r="I3" s="16"/>
      <c r="J3" s="14"/>
      <c r="K3" s="14"/>
      <c r="L3" s="14"/>
      <c r="M3" s="15">
        <f>SUM(M4:M6)</f>
        <v>0.2</v>
      </c>
      <c r="N3" s="14"/>
      <c r="O3" s="16"/>
      <c r="P3" s="14"/>
      <c r="Q3" s="14"/>
      <c r="R3" s="14"/>
      <c r="S3" s="15">
        <f>SUM(S4:S6)</f>
        <v>0.2</v>
      </c>
      <c r="T3" s="14"/>
      <c r="U3" s="16"/>
      <c r="V3" s="14"/>
      <c r="W3" s="14"/>
      <c r="X3" s="14"/>
      <c r="Y3" s="15">
        <f>SUM(Y4:Y6)</f>
        <v>0.2</v>
      </c>
    </row>
    <row r="4" spans="2:26" x14ac:dyDescent="0.2">
      <c r="B4" s="57" t="s">
        <v>7</v>
      </c>
      <c r="D4" s="59" t="s">
        <v>72</v>
      </c>
      <c r="E4" s="59"/>
      <c r="F4" s="59"/>
      <c r="G4" s="39">
        <v>5.0000000000000001E-3</v>
      </c>
      <c r="H4" s="59"/>
      <c r="I4" s="12"/>
      <c r="J4" s="59" t="s">
        <v>72</v>
      </c>
      <c r="K4" s="59"/>
      <c r="L4" s="59"/>
      <c r="M4" s="39">
        <v>5.0000000000000001E-3</v>
      </c>
      <c r="N4" s="59"/>
      <c r="O4" s="12"/>
      <c r="P4" s="59" t="s">
        <v>72</v>
      </c>
      <c r="Q4" s="60"/>
      <c r="R4" s="60"/>
      <c r="S4" s="61">
        <v>5.0000000000000001E-3</v>
      </c>
      <c r="T4" s="59"/>
      <c r="U4" s="12"/>
      <c r="V4" s="59" t="s">
        <v>72</v>
      </c>
      <c r="Y4" s="39">
        <v>5.0000000000000001E-3</v>
      </c>
      <c r="Z4" s="59"/>
    </row>
    <row r="5" spans="2:26" s="19" customFormat="1" x14ac:dyDescent="0.2">
      <c r="B5" s="18" t="s">
        <v>10</v>
      </c>
      <c r="D5" s="103" t="s">
        <v>73</v>
      </c>
      <c r="E5" s="103"/>
      <c r="F5" s="103"/>
      <c r="G5" s="39">
        <v>7.2499999999999995E-2</v>
      </c>
      <c r="H5" s="103"/>
      <c r="I5" s="104"/>
      <c r="J5" s="103" t="s">
        <v>73</v>
      </c>
      <c r="K5" s="103"/>
      <c r="L5" s="103"/>
      <c r="M5" s="39">
        <v>9.7500000000000003E-2</v>
      </c>
      <c r="N5" s="103"/>
      <c r="O5" s="103"/>
      <c r="P5" s="103" t="s">
        <v>73</v>
      </c>
      <c r="Q5" s="103"/>
      <c r="R5" s="103"/>
      <c r="S5" s="39">
        <v>9.7500000000000003E-2</v>
      </c>
      <c r="T5" s="103"/>
      <c r="U5" s="103"/>
      <c r="V5" s="103" t="s">
        <v>73</v>
      </c>
      <c r="W5" s="104"/>
      <c r="X5" s="104"/>
      <c r="Y5" s="39">
        <v>9.7500000000000003E-2</v>
      </c>
      <c r="Z5" s="20"/>
    </row>
    <row r="6" spans="2:26" s="19" customFormat="1" ht="12" customHeight="1" x14ac:dyDescent="0.2">
      <c r="B6" s="18"/>
      <c r="D6" s="104" t="s">
        <v>74</v>
      </c>
      <c r="E6" s="104"/>
      <c r="F6" s="104"/>
      <c r="G6" s="39">
        <v>7.2499999999999995E-2</v>
      </c>
      <c r="H6" s="104"/>
      <c r="I6" s="104"/>
      <c r="J6" s="104" t="s">
        <v>74</v>
      </c>
      <c r="K6" s="104"/>
      <c r="L6" s="104"/>
      <c r="M6" s="39">
        <v>9.7500000000000003E-2</v>
      </c>
      <c r="N6" s="104"/>
      <c r="O6" s="104"/>
      <c r="P6" s="104" t="s">
        <v>74</v>
      </c>
      <c r="Q6" s="104"/>
      <c r="R6" s="104"/>
      <c r="S6" s="39">
        <v>9.7500000000000003E-2</v>
      </c>
      <c r="T6" s="105"/>
      <c r="U6" s="104"/>
      <c r="V6" s="104" t="s">
        <v>74</v>
      </c>
      <c r="W6" s="104"/>
      <c r="X6" s="104"/>
      <c r="Y6" s="39">
        <v>9.7500000000000003E-2</v>
      </c>
      <c r="Z6" s="20"/>
    </row>
    <row r="7" spans="2:26" s="19" customFormat="1" ht="12" customHeight="1" x14ac:dyDescent="0.2">
      <c r="B7" s="18"/>
      <c r="D7" s="104"/>
      <c r="E7" s="104"/>
      <c r="F7" s="104"/>
      <c r="G7" s="39"/>
      <c r="H7" s="104"/>
      <c r="I7" s="104"/>
      <c r="J7" s="104"/>
      <c r="K7" s="104"/>
      <c r="L7" s="104"/>
      <c r="M7" s="39"/>
      <c r="N7" s="104"/>
      <c r="O7" s="104"/>
      <c r="P7" s="104"/>
      <c r="Q7" s="104"/>
      <c r="R7" s="104"/>
      <c r="S7" s="39"/>
      <c r="T7" s="105"/>
      <c r="U7" s="104"/>
      <c r="V7" s="104"/>
      <c r="W7" s="104"/>
      <c r="X7" s="104"/>
      <c r="Y7" s="39"/>
      <c r="Z7" s="20"/>
    </row>
    <row r="8" spans="2:26" s="17" customFormat="1" x14ac:dyDescent="0.2">
      <c r="B8" s="26" t="s">
        <v>14</v>
      </c>
      <c r="C8" s="27"/>
      <c r="D8" s="27"/>
      <c r="E8" s="27"/>
      <c r="F8" s="27"/>
      <c r="G8" s="28">
        <f>SUM(G9:G16)</f>
        <v>0.25</v>
      </c>
      <c r="H8" s="27"/>
      <c r="I8" s="29"/>
      <c r="J8" s="27"/>
      <c r="K8" s="27"/>
      <c r="L8" s="27"/>
      <c r="M8" s="28">
        <f>SUM(M9:M16)</f>
        <v>0.19999999999999998</v>
      </c>
      <c r="N8" s="27"/>
      <c r="O8" s="29"/>
      <c r="P8" s="27"/>
      <c r="Q8" s="27"/>
      <c r="R8" s="27"/>
      <c r="S8" s="28">
        <f>SUM(S9:S16)</f>
        <v>0.19999999999999998</v>
      </c>
      <c r="T8" s="27"/>
      <c r="U8" s="29"/>
      <c r="V8" s="27"/>
      <c r="W8" s="27"/>
      <c r="X8" s="27"/>
      <c r="Y8" s="28">
        <f>SUM(Y9:Y16)</f>
        <v>0.2</v>
      </c>
    </row>
    <row r="9" spans="2:26" s="19" customFormat="1" hidden="1" x14ac:dyDescent="0.2">
      <c r="B9" s="18" t="s">
        <v>0</v>
      </c>
      <c r="D9" s="30" t="s">
        <v>75</v>
      </c>
      <c r="E9" s="30"/>
      <c r="F9" s="30"/>
      <c r="G9" s="31"/>
      <c r="H9" s="30"/>
      <c r="I9" s="30"/>
      <c r="J9" s="30" t="s">
        <v>75</v>
      </c>
      <c r="K9" s="30"/>
      <c r="L9" s="30"/>
      <c r="M9" s="31"/>
      <c r="N9" s="30"/>
      <c r="T9" s="32"/>
      <c r="V9" s="30" t="s">
        <v>75</v>
      </c>
      <c r="Y9" s="31">
        <v>0.06</v>
      </c>
      <c r="Z9" s="20"/>
    </row>
    <row r="10" spans="2:26" s="19" customFormat="1" hidden="1" x14ac:dyDescent="0.2">
      <c r="B10" s="18"/>
      <c r="D10" s="30"/>
      <c r="E10" s="30"/>
      <c r="F10" s="30"/>
      <c r="G10" s="31"/>
      <c r="H10" s="30"/>
      <c r="I10" s="30"/>
      <c r="J10" s="33"/>
      <c r="K10" s="30"/>
      <c r="L10" s="30"/>
      <c r="M10" s="31"/>
      <c r="N10" s="30"/>
      <c r="T10" s="32"/>
      <c r="V10" s="25"/>
      <c r="Y10" s="31"/>
      <c r="Z10" s="20"/>
    </row>
    <row r="11" spans="2:26" s="19" customFormat="1" x14ac:dyDescent="0.2">
      <c r="B11" s="18" t="s">
        <v>17</v>
      </c>
      <c r="D11" s="25" t="s">
        <v>76</v>
      </c>
      <c r="E11" s="25"/>
      <c r="F11" s="25"/>
      <c r="G11" s="106">
        <v>0.05</v>
      </c>
      <c r="H11" s="25"/>
      <c r="I11" s="25"/>
      <c r="J11" s="25" t="s">
        <v>76</v>
      </c>
      <c r="K11" s="25"/>
      <c r="L11" s="25"/>
      <c r="M11" s="106">
        <v>0.05</v>
      </c>
      <c r="N11" s="25"/>
      <c r="O11" s="25"/>
      <c r="P11" s="25" t="s">
        <v>76</v>
      </c>
      <c r="Q11" s="25"/>
      <c r="R11" s="25"/>
      <c r="S11" s="106">
        <v>0.06</v>
      </c>
      <c r="T11" s="25"/>
      <c r="U11" s="25"/>
      <c r="V11" s="25"/>
      <c r="W11" s="25"/>
      <c r="X11" s="25"/>
      <c r="Y11" s="25"/>
      <c r="Z11" s="20"/>
    </row>
    <row r="12" spans="2:26" s="19" customFormat="1" x14ac:dyDescent="0.2">
      <c r="B12" s="18"/>
      <c r="D12" s="25" t="s">
        <v>77</v>
      </c>
      <c r="E12" s="25"/>
      <c r="F12" s="25"/>
      <c r="G12" s="106">
        <v>0.05</v>
      </c>
      <c r="H12" s="25"/>
      <c r="I12" s="25"/>
      <c r="J12" s="25"/>
      <c r="K12" s="25"/>
      <c r="L12" s="25"/>
      <c r="M12" s="25"/>
      <c r="N12" s="25"/>
      <c r="O12" s="25"/>
      <c r="P12" s="25"/>
      <c r="Q12" s="25"/>
      <c r="R12" s="25"/>
      <c r="S12" s="25"/>
      <c r="T12" s="25"/>
      <c r="U12" s="25"/>
      <c r="V12" s="25"/>
      <c r="W12" s="25"/>
      <c r="X12" s="25"/>
      <c r="Y12" s="25"/>
      <c r="Z12" s="20"/>
    </row>
    <row r="13" spans="2:26" s="19" customFormat="1" x14ac:dyDescent="0.2">
      <c r="B13" s="18" t="s">
        <v>20</v>
      </c>
      <c r="D13" s="25" t="s">
        <v>78</v>
      </c>
      <c r="E13" s="25"/>
      <c r="F13" s="25"/>
      <c r="G13" s="106">
        <v>0.05</v>
      </c>
      <c r="H13" s="25"/>
      <c r="I13" s="25"/>
      <c r="J13" s="25" t="s">
        <v>78</v>
      </c>
      <c r="K13" s="25"/>
      <c r="L13" s="25"/>
      <c r="M13" s="106">
        <v>0.04</v>
      </c>
      <c r="N13" s="25"/>
      <c r="O13" s="25"/>
      <c r="P13" s="25" t="s">
        <v>78</v>
      </c>
      <c r="Q13" s="38"/>
      <c r="R13" s="38"/>
      <c r="S13" s="24">
        <v>0.06</v>
      </c>
      <c r="T13" s="25"/>
      <c r="U13" s="25"/>
      <c r="V13" s="25" t="s">
        <v>78</v>
      </c>
      <c r="W13" s="25"/>
      <c r="X13" s="25"/>
      <c r="Y13" s="106">
        <v>0.05</v>
      </c>
      <c r="Z13" s="20"/>
    </row>
    <row r="14" spans="2:26" s="19" customFormat="1" x14ac:dyDescent="0.2">
      <c r="B14" s="18"/>
      <c r="D14" s="38" t="s">
        <v>92</v>
      </c>
      <c r="E14" s="38"/>
      <c r="F14" s="38"/>
      <c r="G14" s="108">
        <v>0.05</v>
      </c>
      <c r="H14" s="38"/>
      <c r="I14" s="38"/>
      <c r="J14" s="38" t="s">
        <v>22</v>
      </c>
      <c r="K14" s="25"/>
      <c r="L14" s="25"/>
      <c r="M14" s="106">
        <v>0.03</v>
      </c>
      <c r="N14" s="25"/>
      <c r="O14" s="25"/>
      <c r="P14" s="25"/>
      <c r="Q14" s="25"/>
      <c r="R14" s="25"/>
      <c r="S14" s="112"/>
      <c r="T14" s="25"/>
      <c r="U14" s="25"/>
      <c r="V14" s="25" t="s">
        <v>22</v>
      </c>
      <c r="W14" s="25"/>
      <c r="X14" s="25"/>
      <c r="Y14" s="106">
        <v>0.04</v>
      </c>
      <c r="Z14" s="20"/>
    </row>
    <row r="15" spans="2:26" s="19" customFormat="1" x14ac:dyDescent="0.2">
      <c r="B15" s="18" t="s">
        <v>84</v>
      </c>
      <c r="D15" s="38" t="s">
        <v>85</v>
      </c>
      <c r="E15" s="38"/>
      <c r="F15" s="38"/>
      <c r="G15" s="108">
        <v>0.05</v>
      </c>
      <c r="H15" s="38"/>
      <c r="I15" s="38"/>
      <c r="J15" s="38" t="s">
        <v>85</v>
      </c>
      <c r="K15" s="25"/>
      <c r="L15" s="25"/>
      <c r="M15" s="108">
        <v>0.05</v>
      </c>
      <c r="N15" s="25"/>
      <c r="O15" s="25"/>
      <c r="P15" s="38" t="s">
        <v>85</v>
      </c>
      <c r="Q15" s="25"/>
      <c r="R15" s="25"/>
      <c r="S15" s="108">
        <v>0.05</v>
      </c>
      <c r="T15" s="25"/>
      <c r="U15" s="25"/>
      <c r="V15" s="38" t="s">
        <v>85</v>
      </c>
      <c r="W15" s="25"/>
      <c r="X15" s="25"/>
      <c r="Y15" s="108">
        <v>0.05</v>
      </c>
      <c r="Z15" s="20"/>
    </row>
    <row r="16" spans="2:26" s="19" customFormat="1" x14ac:dyDescent="0.2">
      <c r="B16" s="18" t="s">
        <v>23</v>
      </c>
      <c r="D16" s="71"/>
      <c r="E16" s="38"/>
      <c r="F16" s="38"/>
      <c r="G16" s="108"/>
      <c r="H16" s="25"/>
      <c r="I16" s="25"/>
      <c r="J16" s="34" t="s">
        <v>24</v>
      </c>
      <c r="K16" s="25"/>
      <c r="L16" s="25"/>
      <c r="M16" s="106">
        <v>0.03</v>
      </c>
      <c r="N16" s="25"/>
      <c r="O16" s="25"/>
      <c r="P16" s="34" t="s">
        <v>24</v>
      </c>
      <c r="Q16" s="33"/>
      <c r="R16" s="33"/>
      <c r="S16" s="106">
        <v>0.03</v>
      </c>
      <c r="T16" s="25"/>
      <c r="U16" s="25"/>
      <c r="V16" s="25"/>
      <c r="W16" s="25"/>
      <c r="X16" s="25"/>
      <c r="Y16" s="24"/>
      <c r="Z16" s="20"/>
    </row>
    <row r="17" spans="2:30" s="19" customFormat="1" x14ac:dyDescent="0.2">
      <c r="B17" s="18"/>
      <c r="D17" s="71"/>
      <c r="E17" s="38"/>
      <c r="F17" s="38"/>
      <c r="G17" s="108"/>
      <c r="H17" s="25"/>
      <c r="I17" s="25"/>
      <c r="J17" s="34"/>
      <c r="K17" s="25"/>
      <c r="L17" s="25"/>
      <c r="M17" s="106"/>
      <c r="N17" s="25"/>
      <c r="O17" s="25"/>
      <c r="P17" s="34"/>
      <c r="Q17" s="33"/>
      <c r="R17" s="33"/>
      <c r="S17" s="106"/>
      <c r="T17" s="25"/>
      <c r="U17" s="25"/>
      <c r="V17" s="25"/>
      <c r="W17" s="25"/>
      <c r="X17" s="25"/>
      <c r="Y17" s="24"/>
      <c r="Z17" s="20"/>
    </row>
    <row r="18" spans="2:30" s="17" customFormat="1" x14ac:dyDescent="0.2">
      <c r="B18" s="35" t="s">
        <v>25</v>
      </c>
      <c r="C18" s="36"/>
      <c r="D18" s="36"/>
      <c r="E18" s="36"/>
      <c r="F18" s="36"/>
      <c r="G18" s="37">
        <f>SUM(G19:G25)</f>
        <v>0.44999999999999996</v>
      </c>
      <c r="H18" s="36"/>
      <c r="I18" s="29"/>
      <c r="J18" s="36"/>
      <c r="K18" s="36"/>
      <c r="L18" s="36"/>
      <c r="M18" s="37">
        <f>SUM(M19:M25)</f>
        <v>0.44999999999999996</v>
      </c>
      <c r="N18" s="36"/>
      <c r="O18" s="29"/>
      <c r="P18" s="36"/>
      <c r="Q18" s="36"/>
      <c r="R18" s="36"/>
      <c r="S18" s="37">
        <f>SUM(S19:S25)</f>
        <v>0.45000000000000007</v>
      </c>
      <c r="T18" s="36"/>
      <c r="U18" s="29"/>
      <c r="V18" s="36"/>
      <c r="W18" s="36"/>
      <c r="X18" s="36"/>
      <c r="Y18" s="37">
        <f>SUM(Y19:Y25)</f>
        <v>0.44999999999999996</v>
      </c>
    </row>
    <row r="19" spans="2:30" s="100" customFormat="1" x14ac:dyDescent="0.2">
      <c r="B19" s="101" t="s">
        <v>86</v>
      </c>
      <c r="C19" s="99"/>
      <c r="D19" s="12" t="s">
        <v>88</v>
      </c>
      <c r="E19" s="12"/>
      <c r="F19" s="12"/>
      <c r="G19" s="39">
        <v>0.13</v>
      </c>
      <c r="H19" s="99"/>
      <c r="I19" s="99"/>
      <c r="J19" s="12" t="s">
        <v>88</v>
      </c>
      <c r="K19" s="12"/>
      <c r="L19" s="12"/>
      <c r="M19" s="39">
        <v>0.13</v>
      </c>
      <c r="N19" s="12"/>
      <c r="O19" s="12"/>
      <c r="P19" s="12" t="s">
        <v>88</v>
      </c>
      <c r="Q19" s="12"/>
      <c r="R19" s="12"/>
      <c r="S19" s="39">
        <v>0.13</v>
      </c>
      <c r="T19" s="12"/>
      <c r="U19" s="12"/>
      <c r="V19" s="12" t="s">
        <v>88</v>
      </c>
      <c r="W19" s="12"/>
      <c r="X19" s="12"/>
      <c r="Y19" s="39">
        <v>0.13</v>
      </c>
      <c r="AA19" s="102"/>
      <c r="AB19" s="102"/>
      <c r="AC19" s="102"/>
      <c r="AD19" s="102"/>
    </row>
    <row r="20" spans="2:30" s="100" customFormat="1" x14ac:dyDescent="0.2">
      <c r="B20" s="101"/>
      <c r="C20" s="99"/>
      <c r="D20" s="12" t="s">
        <v>89</v>
      </c>
      <c r="E20" s="12"/>
      <c r="F20" s="12"/>
      <c r="G20" s="39">
        <v>0.05</v>
      </c>
      <c r="H20" s="99"/>
      <c r="I20" s="99"/>
      <c r="J20" s="12" t="s">
        <v>89</v>
      </c>
      <c r="K20" s="12"/>
      <c r="L20" s="12"/>
      <c r="M20" s="39">
        <v>0.05</v>
      </c>
      <c r="N20" s="12"/>
      <c r="O20" s="12"/>
      <c r="P20" s="12" t="s">
        <v>89</v>
      </c>
      <c r="Q20" s="12"/>
      <c r="R20" s="12"/>
      <c r="S20" s="39">
        <v>0.05</v>
      </c>
      <c r="T20" s="12"/>
      <c r="U20" s="12"/>
      <c r="V20" s="12" t="s">
        <v>89</v>
      </c>
      <c r="W20" s="12"/>
      <c r="X20" s="12"/>
      <c r="Y20" s="39">
        <v>0.05</v>
      </c>
      <c r="AA20" s="102"/>
      <c r="AB20" s="102"/>
      <c r="AC20" s="102"/>
      <c r="AD20" s="102"/>
    </row>
    <row r="21" spans="2:30" x14ac:dyDescent="0.2">
      <c r="B21" s="57" t="s">
        <v>79</v>
      </c>
      <c r="D21" s="12" t="s">
        <v>82</v>
      </c>
      <c r="G21" s="39">
        <v>0.16</v>
      </c>
      <c r="I21" s="12"/>
      <c r="J21" s="12" t="s">
        <v>82</v>
      </c>
      <c r="M21" s="39">
        <v>0.16</v>
      </c>
      <c r="O21" s="12"/>
      <c r="P21" s="38" t="s">
        <v>82</v>
      </c>
      <c r="Q21" s="38"/>
      <c r="R21" s="38"/>
      <c r="S21" s="61">
        <v>0.15</v>
      </c>
      <c r="T21" s="38"/>
      <c r="U21" s="38"/>
      <c r="V21" s="38" t="s">
        <v>82</v>
      </c>
      <c r="Y21" s="39">
        <v>0.16</v>
      </c>
      <c r="AA21" s="102"/>
      <c r="AB21" s="102"/>
      <c r="AC21" s="102"/>
      <c r="AD21" s="102"/>
    </row>
    <row r="22" spans="2:30" x14ac:dyDescent="0.2">
      <c r="D22" s="12" t="s">
        <v>91</v>
      </c>
      <c r="G22" s="39">
        <v>0.04</v>
      </c>
      <c r="I22" s="12"/>
      <c r="J22" s="12" t="s">
        <v>80</v>
      </c>
      <c r="M22" s="39">
        <v>0.04</v>
      </c>
      <c r="O22" s="12"/>
      <c r="P22" s="38" t="s">
        <v>80</v>
      </c>
      <c r="Q22" s="38"/>
      <c r="R22" s="38"/>
      <c r="S22" s="61">
        <v>0.03</v>
      </c>
      <c r="T22" s="38"/>
      <c r="U22" s="38"/>
      <c r="V22" s="38" t="s">
        <v>80</v>
      </c>
      <c r="Y22" s="39">
        <v>0.04</v>
      </c>
      <c r="AA22" s="102"/>
      <c r="AB22" s="102"/>
      <c r="AC22" s="102"/>
      <c r="AD22" s="102"/>
    </row>
    <row r="23" spans="2:30" x14ac:dyDescent="0.2">
      <c r="D23" s="12" t="s">
        <v>87</v>
      </c>
      <c r="G23" s="39">
        <v>0.04</v>
      </c>
      <c r="I23" s="12"/>
      <c r="J23" s="12" t="s">
        <v>87</v>
      </c>
      <c r="M23" s="39">
        <v>0.04</v>
      </c>
      <c r="O23" s="12"/>
      <c r="P23" s="38" t="s">
        <v>87</v>
      </c>
      <c r="Q23" s="38"/>
      <c r="R23" s="38"/>
      <c r="S23" s="61">
        <v>0.03</v>
      </c>
      <c r="T23" s="38"/>
      <c r="U23" s="38"/>
      <c r="V23" s="38" t="s">
        <v>87</v>
      </c>
      <c r="Y23" s="39">
        <v>0.04</v>
      </c>
      <c r="AA23" s="102"/>
      <c r="AB23" s="102"/>
      <c r="AC23" s="102"/>
      <c r="AD23" s="102"/>
    </row>
    <row r="24" spans="2:30" ht="14.25" x14ac:dyDescent="0.2">
      <c r="B24" s="57" t="s">
        <v>33</v>
      </c>
      <c r="G24" s="12"/>
      <c r="I24" s="12"/>
      <c r="J24" s="75"/>
      <c r="M24" s="39"/>
      <c r="O24" s="12"/>
      <c r="P24" s="25" t="s">
        <v>35</v>
      </c>
      <c r="Q24" s="38"/>
      <c r="R24" s="38"/>
      <c r="S24" s="61">
        <v>0.03</v>
      </c>
      <c r="T24" s="38"/>
      <c r="U24" s="38"/>
      <c r="V24" s="38"/>
      <c r="Y24" s="39"/>
      <c r="AA24" s="102"/>
      <c r="AB24" s="102"/>
      <c r="AC24" s="102"/>
      <c r="AD24" s="102"/>
    </row>
    <row r="25" spans="2:30" x14ac:dyDescent="0.2">
      <c r="B25" s="57" t="s">
        <v>37</v>
      </c>
      <c r="D25" s="12" t="s">
        <v>90</v>
      </c>
      <c r="G25" s="39">
        <v>0.03</v>
      </c>
      <c r="I25" s="12"/>
      <c r="J25" s="12" t="s">
        <v>81</v>
      </c>
      <c r="M25" s="39">
        <v>0.03</v>
      </c>
      <c r="O25" s="12"/>
      <c r="P25" s="12" t="s">
        <v>81</v>
      </c>
      <c r="S25" s="39">
        <v>0.03</v>
      </c>
      <c r="U25" s="12"/>
      <c r="V25" s="12" t="s">
        <v>81</v>
      </c>
      <c r="Y25" s="39">
        <v>0.03</v>
      </c>
      <c r="AA25" s="102"/>
      <c r="AB25" s="102"/>
      <c r="AC25" s="102"/>
      <c r="AD25" s="102"/>
    </row>
    <row r="26" spans="2:30" s="17" customFormat="1" x14ac:dyDescent="0.2">
      <c r="B26" s="40" t="s">
        <v>40</v>
      </c>
      <c r="C26" s="40"/>
      <c r="D26" s="41"/>
      <c r="E26" s="41"/>
      <c r="F26" s="41"/>
      <c r="G26" s="42">
        <f>SUM(G27:G32)</f>
        <v>0.15</v>
      </c>
      <c r="H26" s="43"/>
      <c r="I26" s="29"/>
      <c r="J26" s="41"/>
      <c r="K26" s="41"/>
      <c r="L26" s="41"/>
      <c r="M26" s="42">
        <f>SUM(M27:M33)</f>
        <v>0.15</v>
      </c>
      <c r="N26" s="43"/>
      <c r="O26" s="29"/>
      <c r="P26" s="41"/>
      <c r="Q26" s="41"/>
      <c r="R26" s="41"/>
      <c r="S26" s="42">
        <f>SUM(S27:S32)</f>
        <v>0.15000000000000002</v>
      </c>
      <c r="T26" s="43"/>
      <c r="U26" s="29"/>
      <c r="V26" s="41"/>
      <c r="W26" s="41"/>
      <c r="X26" s="41"/>
      <c r="Y26" s="42">
        <f>SUM(Y27:Y32)</f>
        <v>0.15000000000000002</v>
      </c>
    </row>
    <row r="27" spans="2:30" s="19" customFormat="1" x14ac:dyDescent="0.2">
      <c r="B27" s="18"/>
      <c r="D27" s="19" t="s">
        <v>70</v>
      </c>
      <c r="G27" s="21">
        <v>7.4999999999999997E-2</v>
      </c>
      <c r="H27" s="29"/>
      <c r="I27" s="29"/>
      <c r="J27" s="19" t="s">
        <v>71</v>
      </c>
      <c r="M27" s="21">
        <v>0.09</v>
      </c>
      <c r="N27" s="29"/>
      <c r="O27" s="29"/>
      <c r="P27" s="19" t="s">
        <v>71</v>
      </c>
      <c r="S27" s="21">
        <v>0.11</v>
      </c>
      <c r="T27" s="29"/>
      <c r="U27" s="29"/>
      <c r="V27" s="19" t="s">
        <v>71</v>
      </c>
      <c r="Y27" s="21">
        <v>0.11</v>
      </c>
    </row>
    <row r="28" spans="2:30" s="19" customFormat="1" x14ac:dyDescent="0.2">
      <c r="B28" s="18"/>
      <c r="D28" s="19" t="s">
        <v>69</v>
      </c>
      <c r="G28" s="21">
        <v>7.4999999999999997E-2</v>
      </c>
      <c r="J28" s="19" t="s">
        <v>41</v>
      </c>
      <c r="M28" s="21">
        <v>0.01</v>
      </c>
      <c r="P28" s="19" t="s">
        <v>41</v>
      </c>
      <c r="S28" s="21">
        <v>0.01</v>
      </c>
      <c r="V28" s="19" t="s">
        <v>42</v>
      </c>
      <c r="Y28" s="21">
        <v>0.01</v>
      </c>
    </row>
    <row r="29" spans="2:30" s="19" customFormat="1" x14ac:dyDescent="0.2">
      <c r="B29" s="18"/>
      <c r="G29" s="21"/>
      <c r="J29" s="19" t="s">
        <v>43</v>
      </c>
      <c r="M29" s="21">
        <v>0.01</v>
      </c>
      <c r="P29" s="19" t="s">
        <v>44</v>
      </c>
      <c r="S29" s="21">
        <v>0.01</v>
      </c>
      <c r="V29" s="19" t="s">
        <v>45</v>
      </c>
      <c r="Y29" s="21">
        <v>0.01</v>
      </c>
    </row>
    <row r="30" spans="2:30" s="19" customFormat="1" x14ac:dyDescent="0.2">
      <c r="B30" s="18"/>
      <c r="G30" s="21"/>
      <c r="J30" s="19" t="s">
        <v>46</v>
      </c>
      <c r="M30" s="21">
        <v>0.01</v>
      </c>
      <c r="P30" s="19" t="s">
        <v>46</v>
      </c>
      <c r="S30" s="21">
        <v>0.01</v>
      </c>
      <c r="V30" s="19" t="s">
        <v>47</v>
      </c>
      <c r="Y30" s="21">
        <v>0.01</v>
      </c>
    </row>
    <row r="31" spans="2:30" s="19" customFormat="1" x14ac:dyDescent="0.2">
      <c r="B31" s="18"/>
      <c r="G31" s="21"/>
      <c r="J31" s="19" t="s">
        <v>42</v>
      </c>
      <c r="M31" s="21">
        <v>0.01</v>
      </c>
      <c r="P31" s="25" t="s">
        <v>48</v>
      </c>
      <c r="S31" s="31">
        <v>0.01</v>
      </c>
      <c r="V31" s="20" t="s">
        <v>49</v>
      </c>
      <c r="Y31" s="21">
        <v>0.01</v>
      </c>
    </row>
    <row r="32" spans="2:30" s="19" customFormat="1" x14ac:dyDescent="0.2">
      <c r="B32" s="18"/>
      <c r="G32" s="21"/>
      <c r="J32" s="19" t="s">
        <v>45</v>
      </c>
      <c r="M32" s="21">
        <v>0.01</v>
      </c>
      <c r="S32" s="21"/>
      <c r="V32" s="20"/>
      <c r="Y32" s="21"/>
    </row>
    <row r="33" spans="2:28" s="19" customFormat="1" x14ac:dyDescent="0.2">
      <c r="B33" s="18"/>
      <c r="G33" s="21"/>
      <c r="J33" s="19" t="s">
        <v>47</v>
      </c>
      <c r="M33" s="21">
        <v>0.01</v>
      </c>
      <c r="S33" s="21"/>
      <c r="Y33" s="21"/>
    </row>
    <row r="34" spans="2:28" s="17" customFormat="1" x14ac:dyDescent="0.2">
      <c r="B34" s="44"/>
      <c r="C34" s="45"/>
      <c r="D34" s="45"/>
      <c r="E34" s="45"/>
      <c r="F34" s="45"/>
      <c r="G34" s="44">
        <f>G3+G8+G18+G26</f>
        <v>1</v>
      </c>
      <c r="H34" s="44">
        <f>H3+H8+H18+H26</f>
        <v>0</v>
      </c>
      <c r="I34" s="46">
        <f>I3+I8+I18+I26</f>
        <v>0</v>
      </c>
      <c r="J34" s="44"/>
      <c r="K34" s="44">
        <f>K3+K8+K18+K26</f>
        <v>0</v>
      </c>
      <c r="L34" s="44">
        <f>L3+L8+L18+L26</f>
        <v>0</v>
      </c>
      <c r="M34" s="44">
        <f>M3+M8+M18+M26</f>
        <v>1</v>
      </c>
      <c r="N34" s="44">
        <f>N3+N8+N18+N26</f>
        <v>0</v>
      </c>
      <c r="O34" s="46">
        <f>O3+O8+O18+O26</f>
        <v>0</v>
      </c>
      <c r="P34" s="44"/>
      <c r="Q34" s="44">
        <f>Q3+Q8+Q18+Q26</f>
        <v>0</v>
      </c>
      <c r="R34" s="44">
        <f>R3+R8+R18+R26</f>
        <v>0</v>
      </c>
      <c r="S34" s="44">
        <f>S3+S8+S18+S26</f>
        <v>1</v>
      </c>
      <c r="T34" s="44">
        <f>T3+T8+T18+T26</f>
        <v>0</v>
      </c>
      <c r="U34" s="46">
        <f>U3+U8+U18+U26</f>
        <v>0</v>
      </c>
      <c r="V34" s="44"/>
      <c r="W34" s="44">
        <f>W3+W8+W18+W26</f>
        <v>0</v>
      </c>
      <c r="X34" s="44">
        <f>X3+X8+X18+X26</f>
        <v>0</v>
      </c>
      <c r="Y34" s="44">
        <f>Y3+Y8+Y18+Y26</f>
        <v>1</v>
      </c>
    </row>
    <row r="35" spans="2:28" s="16" customFormat="1" x14ac:dyDescent="0.2">
      <c r="B35" s="46"/>
      <c r="C35" s="47"/>
      <c r="D35" s="47"/>
      <c r="E35" s="47"/>
      <c r="F35" s="47"/>
      <c r="G35" s="46"/>
      <c r="H35" s="46"/>
      <c r="I35" s="46"/>
      <c r="J35" s="46"/>
      <c r="K35" s="46"/>
      <c r="L35" s="46"/>
      <c r="M35" s="46"/>
      <c r="N35" s="46"/>
      <c r="O35" s="46"/>
      <c r="P35" s="46"/>
      <c r="Q35" s="46"/>
      <c r="R35" s="46"/>
      <c r="S35" s="46"/>
      <c r="T35" s="46"/>
      <c r="U35" s="46"/>
      <c r="V35" s="46"/>
      <c r="W35" s="46"/>
      <c r="X35" s="46"/>
      <c r="Y35" s="46"/>
    </row>
    <row r="36" spans="2:28" x14ac:dyDescent="0.2">
      <c r="B36" s="48" t="s">
        <v>50</v>
      </c>
      <c r="C36" s="49"/>
      <c r="D36" s="49"/>
      <c r="E36" s="49"/>
      <c r="F36" s="49"/>
      <c r="G36" s="50"/>
      <c r="H36" s="51"/>
      <c r="I36" s="51"/>
      <c r="J36" s="51"/>
      <c r="K36" s="51"/>
      <c r="L36" s="51"/>
      <c r="M36" s="50"/>
      <c r="N36" s="51"/>
      <c r="O36" s="51"/>
      <c r="P36" s="51"/>
      <c r="Q36" s="51"/>
      <c r="R36" s="51"/>
      <c r="S36" s="50"/>
      <c r="T36" s="51"/>
      <c r="U36" s="51"/>
      <c r="V36" s="51"/>
      <c r="W36" s="51"/>
      <c r="X36" s="52"/>
      <c r="Y36" s="50"/>
    </row>
    <row r="37" spans="2:28" s="19" customFormat="1" x14ac:dyDescent="0.2">
      <c r="B37" s="18"/>
      <c r="D37" s="20"/>
      <c r="E37" s="20"/>
      <c r="F37" s="20"/>
      <c r="G37" s="21"/>
      <c r="H37" s="20"/>
      <c r="J37" s="22"/>
      <c r="K37" s="20"/>
      <c r="L37" s="20"/>
      <c r="M37" s="21"/>
      <c r="N37" s="20"/>
      <c r="P37" s="25"/>
      <c r="Q37" s="20"/>
      <c r="R37" s="20"/>
      <c r="S37" s="21"/>
      <c r="V37" s="25"/>
      <c r="Y37" s="21"/>
      <c r="Z37" s="20"/>
    </row>
    <row r="38" spans="2:28" s="19" customFormat="1" x14ac:dyDescent="0.2">
      <c r="B38" s="18"/>
      <c r="G38" s="21"/>
      <c r="J38" s="22"/>
      <c r="M38" s="21"/>
      <c r="P38" s="25"/>
      <c r="S38" s="21"/>
      <c r="Y38" s="21"/>
      <c r="Z38" s="20"/>
    </row>
    <row r="39" spans="2:28" s="19" customFormat="1" x14ac:dyDescent="0.2">
      <c r="B39" s="18"/>
      <c r="G39" s="21"/>
      <c r="J39" s="22"/>
      <c r="M39" s="21"/>
      <c r="P39" s="25"/>
      <c r="S39" s="21"/>
      <c r="Y39" s="21"/>
      <c r="Z39" s="20"/>
    </row>
    <row r="40" spans="2:28" s="19" customFormat="1" x14ac:dyDescent="0.2">
      <c r="B40" s="18"/>
      <c r="G40" s="21"/>
      <c r="J40" s="22"/>
      <c r="M40" s="21"/>
      <c r="P40" s="25"/>
      <c r="S40" s="21"/>
      <c r="Y40" s="21"/>
      <c r="Z40" s="20"/>
    </row>
    <row r="41" spans="2:28" s="19" customFormat="1" x14ac:dyDescent="0.2">
      <c r="B41" s="18"/>
      <c r="G41" s="21"/>
      <c r="J41" s="22"/>
      <c r="M41" s="21"/>
      <c r="P41" s="25"/>
      <c r="S41" s="21"/>
      <c r="Y41" s="21"/>
      <c r="Z41" s="20"/>
    </row>
    <row r="42" spans="2:28" s="19" customFormat="1" x14ac:dyDescent="0.2">
      <c r="B42" s="18"/>
      <c r="G42" s="21"/>
      <c r="J42" s="22"/>
      <c r="M42" s="21"/>
      <c r="P42" s="25"/>
      <c r="S42" s="21"/>
      <c r="Y42" s="21"/>
      <c r="Z42" s="20"/>
    </row>
    <row r="43" spans="2:28" x14ac:dyDescent="0.2">
      <c r="D43" s="53"/>
    </row>
    <row r="45" spans="2:28" x14ac:dyDescent="0.2">
      <c r="G45" s="55"/>
      <c r="M45" s="55"/>
      <c r="S45" s="55"/>
      <c r="Y45" s="55"/>
    </row>
    <row r="46" spans="2:28" x14ac:dyDescent="0.2">
      <c r="G46" s="55"/>
      <c r="M46" s="55"/>
      <c r="S46" s="55"/>
      <c r="Y46" s="55"/>
    </row>
    <row r="47" spans="2:28" ht="14.25" x14ac:dyDescent="0.2">
      <c r="G47" s="55"/>
      <c r="M47" s="55"/>
      <c r="S47" s="55"/>
      <c r="Y47" s="55"/>
      <c r="AB47" s="56"/>
    </row>
    <row r="48" spans="2:28" x14ac:dyDescent="0.2">
      <c r="G48" s="55"/>
      <c r="M48" s="55"/>
      <c r="S48" s="55"/>
      <c r="Y48" s="55"/>
    </row>
    <row r="49" spans="7:25" x14ac:dyDescent="0.2">
      <c r="G49" s="55"/>
      <c r="M49" s="55"/>
      <c r="S49" s="55"/>
      <c r="Y49" s="55"/>
    </row>
    <row r="50" spans="7:25" x14ac:dyDescent="0.2">
      <c r="G50" s="55"/>
      <c r="M50" s="55"/>
      <c r="S50" s="55"/>
      <c r="Y50" s="55"/>
    </row>
    <row r="51" spans="7:25" x14ac:dyDescent="0.2">
      <c r="G51" s="55"/>
      <c r="M51" s="55"/>
      <c r="S51" s="55"/>
      <c r="Y51" s="55"/>
    </row>
    <row r="52" spans="7:25" x14ac:dyDescent="0.2">
      <c r="G52" s="55"/>
      <c r="M52" s="55"/>
      <c r="S52" s="55"/>
      <c r="Y52" s="55"/>
    </row>
    <row r="53" spans="7:25" x14ac:dyDescent="0.2">
      <c r="G53" s="55"/>
      <c r="M53" s="55"/>
      <c r="S53" s="55"/>
      <c r="Y53" s="55"/>
    </row>
    <row r="54" spans="7:25" x14ac:dyDescent="0.2">
      <c r="G54" s="55"/>
      <c r="M54" s="55"/>
      <c r="S54" s="55"/>
      <c r="Y54" s="55"/>
    </row>
    <row r="55" spans="7:25" x14ac:dyDescent="0.2">
      <c r="G55" s="55"/>
      <c r="M55" s="55"/>
      <c r="S55" s="55"/>
      <c r="Y55" s="55"/>
    </row>
    <row r="56" spans="7:25" x14ac:dyDescent="0.2">
      <c r="G56" s="55"/>
      <c r="M56" s="55"/>
      <c r="S56" s="55"/>
      <c r="Y56" s="55"/>
    </row>
    <row r="57" spans="7:25" x14ac:dyDescent="0.2">
      <c r="G57" s="55"/>
      <c r="M57" s="55"/>
      <c r="S57" s="55"/>
      <c r="Y57" s="55"/>
    </row>
    <row r="58" spans="7:25" x14ac:dyDescent="0.2">
      <c r="G58" s="55"/>
      <c r="M58" s="55"/>
      <c r="S58" s="55"/>
      <c r="Y58" s="55"/>
    </row>
    <row r="59" spans="7:25" x14ac:dyDescent="0.2">
      <c r="G59" s="55"/>
      <c r="M59" s="55"/>
      <c r="S59" s="17"/>
      <c r="Y59" s="5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FC8B-FB56-43C6-8007-DA36AF522DD2}">
  <dimension ref="B2:AF49"/>
  <sheetViews>
    <sheetView showGridLines="0" zoomScaleNormal="100" workbookViewId="0">
      <selection activeCell="J51" sqref="J51"/>
    </sheetView>
  </sheetViews>
  <sheetFormatPr defaultColWidth="9" defaultRowHeight="12.75" x14ac:dyDescent="0.2"/>
  <cols>
    <col min="1" max="1" width="7.375" style="12" customWidth="1"/>
    <col min="2" max="2" width="15.5" style="57" customWidth="1"/>
    <col min="3" max="3" width="1.625" style="12" customWidth="1"/>
    <col min="4" max="4" width="29.25" style="12" customWidth="1"/>
    <col min="5" max="5" width="3.25" style="12" customWidth="1"/>
    <col min="6" max="6" width="0.875" style="12" customWidth="1"/>
    <col min="7" max="7" width="5.75" style="54" customWidth="1"/>
    <col min="8" max="8" width="3.375" style="12" hidden="1" customWidth="1"/>
    <col min="9" max="9" width="1.125" style="19" customWidth="1"/>
    <col min="10" max="10" width="35.5" style="12" customWidth="1"/>
    <col min="11" max="11" width="3.5" style="12" hidden="1" customWidth="1"/>
    <col min="12" max="12" width="0.625" style="12" customWidth="1"/>
    <col min="13" max="13" width="5.875" style="54" customWidth="1"/>
    <col min="14" max="14" width="0.375" style="12" customWidth="1"/>
    <col min="15" max="15" width="1" style="19" customWidth="1"/>
    <col min="16" max="16" width="32.5" style="12" customWidth="1"/>
    <col min="17" max="18" width="3.375" style="12" hidden="1" customWidth="1"/>
    <col min="19" max="19" width="6.875" style="54" customWidth="1"/>
    <col min="20" max="20" width="2.875" style="12" hidden="1" customWidth="1"/>
    <col min="21" max="21" width="1" style="19" customWidth="1"/>
    <col min="22" max="22" width="32.375" style="12" customWidth="1"/>
    <col min="23" max="24" width="2.5" style="12" hidden="1" customWidth="1"/>
    <col min="25" max="25" width="6.75" style="54" customWidth="1"/>
    <col min="26" max="26" width="0.75" style="74" customWidth="1"/>
    <col min="27" max="27" width="0.375" style="74" customWidth="1"/>
    <col min="28" max="32" width="8.125" style="17" customWidth="1"/>
    <col min="33" max="16384" width="9" style="12"/>
  </cols>
  <sheetData>
    <row r="2" spans="2:32" ht="15.75" x14ac:dyDescent="0.2">
      <c r="B2" s="1"/>
      <c r="C2" s="2"/>
      <c r="D2" s="3" t="s">
        <v>1</v>
      </c>
      <c r="E2" s="3"/>
      <c r="F2" s="3"/>
      <c r="G2" s="4"/>
      <c r="H2" s="3"/>
      <c r="I2" s="5"/>
      <c r="J2" s="6" t="s">
        <v>5</v>
      </c>
      <c r="K2" s="3"/>
      <c r="L2" s="3"/>
      <c r="M2" s="4"/>
      <c r="N2" s="3"/>
      <c r="O2" s="7"/>
      <c r="P2" s="8" t="s">
        <v>2</v>
      </c>
      <c r="Q2" s="3"/>
      <c r="R2" s="3"/>
      <c r="S2" s="4"/>
      <c r="T2" s="8"/>
      <c r="U2" s="9"/>
      <c r="V2" s="10" t="s">
        <v>3</v>
      </c>
      <c r="W2" s="2"/>
      <c r="X2" s="2"/>
      <c r="Y2" s="11"/>
      <c r="Z2" s="67"/>
      <c r="AA2" s="67"/>
    </row>
    <row r="3" spans="2:32" s="17" customFormat="1" x14ac:dyDescent="0.2">
      <c r="B3" s="13" t="s">
        <v>6</v>
      </c>
      <c r="C3" s="14"/>
      <c r="D3" s="14"/>
      <c r="E3" s="14"/>
      <c r="F3" s="14"/>
      <c r="G3" s="15">
        <f>SUM(G4:G7)</f>
        <v>0.15</v>
      </c>
      <c r="H3" s="14"/>
      <c r="I3" s="16"/>
      <c r="J3" s="14"/>
      <c r="K3" s="14"/>
      <c r="L3" s="14"/>
      <c r="M3" s="15">
        <f>SUM(M4:M7)</f>
        <v>0.2</v>
      </c>
      <c r="N3" s="14"/>
      <c r="O3" s="16"/>
      <c r="P3" s="14"/>
      <c r="Q3" s="14"/>
      <c r="R3" s="14"/>
      <c r="S3" s="15">
        <f>SUM(S4:S7)</f>
        <v>0.25</v>
      </c>
      <c r="T3" s="14"/>
      <c r="U3" s="16"/>
      <c r="V3" s="14"/>
      <c r="W3" s="14"/>
      <c r="X3" s="14"/>
      <c r="Y3" s="15">
        <f>SUM(Y4:Y7)</f>
        <v>0.25</v>
      </c>
      <c r="Z3" s="68"/>
      <c r="AA3" s="68"/>
    </row>
    <row r="4" spans="2:32" s="19" customFormat="1" x14ac:dyDescent="0.2">
      <c r="B4" s="57" t="s">
        <v>7</v>
      </c>
      <c r="C4" s="12"/>
      <c r="D4" s="59" t="s">
        <v>72</v>
      </c>
      <c r="E4" s="59"/>
      <c r="F4" s="59"/>
      <c r="G4" s="39">
        <v>5.0000000000000001E-3</v>
      </c>
      <c r="H4" s="59"/>
      <c r="I4" s="12"/>
      <c r="J4" s="59" t="s">
        <v>72</v>
      </c>
      <c r="K4" s="59"/>
      <c r="L4" s="59"/>
      <c r="M4" s="39">
        <v>5.0000000000000001E-3</v>
      </c>
      <c r="N4" s="59"/>
      <c r="O4" s="12"/>
      <c r="P4" s="59" t="s">
        <v>72</v>
      </c>
      <c r="Q4" s="60"/>
      <c r="R4" s="60"/>
      <c r="S4" s="61">
        <v>5.0000000000000001E-3</v>
      </c>
      <c r="T4" s="59"/>
      <c r="U4" s="12"/>
      <c r="V4" s="59" t="s">
        <v>72</v>
      </c>
      <c r="W4" s="12"/>
      <c r="X4" s="12"/>
      <c r="Y4" s="39">
        <v>5.0000000000000001E-3</v>
      </c>
      <c r="Z4" s="39"/>
      <c r="AA4" s="39"/>
      <c r="AB4" s="16"/>
      <c r="AC4" s="16"/>
      <c r="AD4" s="16"/>
      <c r="AE4" s="16"/>
      <c r="AF4" s="16"/>
    </row>
    <row r="5" spans="2:32" s="19" customFormat="1" x14ac:dyDescent="0.2">
      <c r="B5" s="57"/>
      <c r="C5" s="12"/>
      <c r="D5" s="59"/>
      <c r="E5" s="59"/>
      <c r="F5" s="59"/>
      <c r="G5" s="39"/>
      <c r="H5" s="59"/>
      <c r="I5" s="12"/>
      <c r="J5" s="62"/>
      <c r="K5" s="59"/>
      <c r="L5" s="59"/>
      <c r="M5" s="39"/>
      <c r="N5" s="59"/>
      <c r="O5" s="12"/>
      <c r="P5" s="62"/>
      <c r="Q5" s="60"/>
      <c r="R5" s="60"/>
      <c r="S5" s="61"/>
      <c r="T5" s="59"/>
      <c r="U5" s="12"/>
      <c r="V5" s="59"/>
      <c r="W5" s="12"/>
      <c r="X5" s="12"/>
      <c r="Y5" s="39"/>
      <c r="Z5" s="39"/>
      <c r="AA5" s="39"/>
      <c r="AB5" s="16"/>
      <c r="AC5" s="16"/>
      <c r="AD5" s="16"/>
      <c r="AE5" s="16"/>
      <c r="AF5" s="16"/>
    </row>
    <row r="6" spans="2:32" s="19" customFormat="1" x14ac:dyDescent="0.2">
      <c r="B6" s="18" t="s">
        <v>10</v>
      </c>
      <c r="D6" s="63" t="s">
        <v>73</v>
      </c>
      <c r="E6" s="63"/>
      <c r="F6" s="63"/>
      <c r="G6" s="64">
        <v>7.2499999999999995E-2</v>
      </c>
      <c r="H6" s="63"/>
      <c r="I6" s="65"/>
      <c r="J6" s="63" t="s">
        <v>73</v>
      </c>
      <c r="K6" s="63"/>
      <c r="L6" s="63"/>
      <c r="M6" s="64">
        <v>9.7500000000000003E-2</v>
      </c>
      <c r="N6" s="63"/>
      <c r="O6" s="63"/>
      <c r="P6" s="63" t="s">
        <v>73</v>
      </c>
      <c r="Q6" s="63"/>
      <c r="R6" s="63"/>
      <c r="S6" s="64">
        <v>0.1225</v>
      </c>
      <c r="T6" s="63"/>
      <c r="U6" s="63"/>
      <c r="V6" s="63" t="s">
        <v>73</v>
      </c>
      <c r="W6" s="65"/>
      <c r="X6" s="65"/>
      <c r="Y6" s="64">
        <v>0.1225</v>
      </c>
      <c r="Z6" s="39"/>
      <c r="AA6" s="39"/>
      <c r="AB6" s="16"/>
      <c r="AC6" s="16"/>
      <c r="AD6" s="16"/>
      <c r="AE6" s="16"/>
      <c r="AF6" s="16"/>
    </row>
    <row r="7" spans="2:32" s="19" customFormat="1" x14ac:dyDescent="0.2">
      <c r="B7" s="18"/>
      <c r="D7" s="65" t="s">
        <v>74</v>
      </c>
      <c r="E7" s="65"/>
      <c r="F7" s="65"/>
      <c r="G7" s="64">
        <v>7.2499999999999995E-2</v>
      </c>
      <c r="H7" s="65"/>
      <c r="I7" s="65"/>
      <c r="J7" s="65" t="s">
        <v>74</v>
      </c>
      <c r="K7" s="65"/>
      <c r="L7" s="65"/>
      <c r="M7" s="64">
        <v>9.7500000000000003E-2</v>
      </c>
      <c r="N7" s="65"/>
      <c r="O7" s="65"/>
      <c r="P7" s="65" t="s">
        <v>74</v>
      </c>
      <c r="Q7" s="65"/>
      <c r="R7" s="65"/>
      <c r="S7" s="64">
        <v>0.1225</v>
      </c>
      <c r="T7" s="66"/>
      <c r="U7" s="65"/>
      <c r="V7" s="65" t="s">
        <v>74</v>
      </c>
      <c r="W7" s="65"/>
      <c r="X7" s="65"/>
      <c r="Y7" s="64">
        <v>0.1225</v>
      </c>
      <c r="Z7" s="39"/>
      <c r="AA7" s="39"/>
      <c r="AB7" s="16"/>
      <c r="AC7" s="16"/>
      <c r="AD7" s="16"/>
      <c r="AE7" s="16"/>
      <c r="AF7" s="16"/>
    </row>
    <row r="8" spans="2:32" s="19" customFormat="1" x14ac:dyDescent="0.2">
      <c r="B8" s="18"/>
      <c r="D8" s="65"/>
      <c r="E8" s="65"/>
      <c r="F8" s="65"/>
      <c r="G8" s="64"/>
      <c r="H8" s="65"/>
      <c r="I8" s="65"/>
      <c r="J8" s="65"/>
      <c r="K8" s="65"/>
      <c r="L8" s="65"/>
      <c r="M8" s="64"/>
      <c r="N8" s="65"/>
      <c r="O8" s="65"/>
      <c r="P8" s="65"/>
      <c r="Q8" s="65"/>
      <c r="R8" s="65"/>
      <c r="S8" s="64"/>
      <c r="T8" s="66"/>
      <c r="U8" s="65"/>
      <c r="V8" s="65"/>
      <c r="W8" s="65"/>
      <c r="X8" s="65"/>
      <c r="Y8" s="64"/>
      <c r="Z8" s="39"/>
      <c r="AA8" s="39"/>
      <c r="AB8" s="16"/>
      <c r="AC8" s="16"/>
      <c r="AD8" s="16"/>
      <c r="AE8" s="16"/>
      <c r="AF8" s="16"/>
    </row>
    <row r="9" spans="2:32" s="17" customFormat="1" x14ac:dyDescent="0.2">
      <c r="B9" s="26" t="s">
        <v>14</v>
      </c>
      <c r="C9" s="27"/>
      <c r="D9" s="27"/>
      <c r="E9" s="27"/>
      <c r="F9" s="27"/>
      <c r="G9" s="28">
        <f>SUM(G10:G16)</f>
        <v>0.25</v>
      </c>
      <c r="H9" s="27"/>
      <c r="I9" s="29"/>
      <c r="J9" s="27"/>
      <c r="K9" s="27"/>
      <c r="L9" s="27"/>
      <c r="M9" s="28">
        <f>SUM(M10:M16)</f>
        <v>0.2</v>
      </c>
      <c r="N9" s="27"/>
      <c r="O9" s="29"/>
      <c r="P9" s="27"/>
      <c r="Q9" s="27"/>
      <c r="R9" s="27"/>
      <c r="S9" s="28">
        <f>SUM(S10:S16)</f>
        <v>0.15</v>
      </c>
      <c r="T9" s="27"/>
      <c r="U9" s="29"/>
      <c r="V9" s="27"/>
      <c r="W9" s="27"/>
      <c r="X9" s="27"/>
      <c r="Y9" s="28">
        <f>SUM(Y10:Y16)</f>
        <v>0.15</v>
      </c>
      <c r="Z9" s="69"/>
      <c r="AA9" s="69"/>
    </row>
    <row r="10" spans="2:32" s="19" customFormat="1" x14ac:dyDescent="0.2">
      <c r="B10" s="18" t="s">
        <v>0</v>
      </c>
      <c r="D10" s="33" t="s">
        <v>75</v>
      </c>
      <c r="E10" s="33"/>
      <c r="F10" s="33"/>
      <c r="G10" s="106">
        <v>0.06</v>
      </c>
      <c r="H10" s="33"/>
      <c r="I10" s="33"/>
      <c r="J10" s="33" t="s">
        <v>75</v>
      </c>
      <c r="K10" s="33"/>
      <c r="L10" s="33"/>
      <c r="M10" s="106">
        <v>0.05</v>
      </c>
      <c r="N10" s="33"/>
      <c r="O10" s="25"/>
      <c r="P10" s="25"/>
      <c r="Q10" s="25"/>
      <c r="R10" s="25"/>
      <c r="S10" s="25"/>
      <c r="T10" s="34"/>
      <c r="U10" s="25"/>
      <c r="V10" s="33" t="s">
        <v>75</v>
      </c>
      <c r="W10" s="25"/>
      <c r="X10" s="25"/>
      <c r="Y10" s="106">
        <v>0.06</v>
      </c>
      <c r="Z10" s="70"/>
      <c r="AA10" s="70"/>
      <c r="AB10" s="16"/>
      <c r="AC10" s="16"/>
      <c r="AD10" s="16"/>
      <c r="AE10" s="16"/>
      <c r="AF10" s="16"/>
    </row>
    <row r="11" spans="2:32" s="19" customFormat="1" x14ac:dyDescent="0.2">
      <c r="B11" s="18" t="s">
        <v>17</v>
      </c>
      <c r="D11" s="25" t="s">
        <v>76</v>
      </c>
      <c r="E11" s="25"/>
      <c r="F11" s="25"/>
      <c r="G11" s="106">
        <v>0.05</v>
      </c>
      <c r="H11" s="25"/>
      <c r="I11" s="25"/>
      <c r="J11" s="25" t="s">
        <v>76</v>
      </c>
      <c r="K11" s="25"/>
      <c r="L11" s="25"/>
      <c r="M11" s="106">
        <v>0.05</v>
      </c>
      <c r="N11" s="25"/>
      <c r="O11" s="25"/>
      <c r="P11" s="25" t="s">
        <v>76</v>
      </c>
      <c r="Q11" s="25"/>
      <c r="R11" s="25"/>
      <c r="S11" s="106">
        <v>0.06</v>
      </c>
      <c r="T11" s="25"/>
      <c r="U11" s="25"/>
      <c r="V11" s="25"/>
      <c r="W11" s="25"/>
      <c r="X11" s="25"/>
      <c r="Y11" s="25"/>
      <c r="Z11" s="12"/>
      <c r="AA11" s="12"/>
      <c r="AC11" s="16"/>
      <c r="AD11" s="16"/>
      <c r="AE11" s="16"/>
      <c r="AF11" s="16"/>
    </row>
    <row r="12" spans="2:32" s="19" customFormat="1" x14ac:dyDescent="0.2">
      <c r="B12" s="18"/>
      <c r="D12" s="25" t="s">
        <v>77</v>
      </c>
      <c r="E12" s="25"/>
      <c r="F12" s="25"/>
      <c r="G12" s="106">
        <v>0.05</v>
      </c>
      <c r="H12" s="25"/>
      <c r="I12" s="25"/>
      <c r="J12" s="25"/>
      <c r="K12" s="25"/>
      <c r="L12" s="25"/>
      <c r="M12" s="25"/>
      <c r="N12" s="25"/>
      <c r="O12" s="25"/>
      <c r="P12" s="25"/>
      <c r="Q12" s="25"/>
      <c r="R12" s="25"/>
      <c r="S12" s="25"/>
      <c r="T12" s="25"/>
      <c r="U12" s="25"/>
      <c r="V12" s="25"/>
      <c r="W12" s="25"/>
      <c r="X12" s="25"/>
      <c r="Y12" s="25"/>
      <c r="Z12" s="12"/>
      <c r="AA12" s="12"/>
      <c r="AB12" s="31"/>
      <c r="AC12" s="16"/>
      <c r="AD12" s="16"/>
      <c r="AE12" s="16"/>
      <c r="AF12" s="16"/>
    </row>
    <row r="13" spans="2:32" s="19" customFormat="1" x14ac:dyDescent="0.2">
      <c r="B13" s="18" t="s">
        <v>20</v>
      </c>
      <c r="D13" s="25" t="s">
        <v>78</v>
      </c>
      <c r="E13" s="25"/>
      <c r="F13" s="25"/>
      <c r="G13" s="106">
        <v>0.05</v>
      </c>
      <c r="H13" s="25"/>
      <c r="I13" s="25"/>
      <c r="J13" s="25" t="s">
        <v>78</v>
      </c>
      <c r="K13" s="25"/>
      <c r="L13" s="25"/>
      <c r="M13" s="106">
        <v>0.04</v>
      </c>
      <c r="N13" s="25"/>
      <c r="O13" s="25"/>
      <c r="P13" s="25" t="s">
        <v>78</v>
      </c>
      <c r="Q13" s="38"/>
      <c r="R13" s="38"/>
      <c r="S13" s="106">
        <v>0.06</v>
      </c>
      <c r="T13" s="25"/>
      <c r="U13" s="25"/>
      <c r="V13" s="25" t="s">
        <v>78</v>
      </c>
      <c r="W13" s="25"/>
      <c r="X13" s="25"/>
      <c r="Y13" s="106">
        <v>0.05</v>
      </c>
      <c r="Z13" s="70"/>
      <c r="AA13" s="70"/>
      <c r="AB13" s="16"/>
      <c r="AC13" s="16"/>
      <c r="AD13" s="16"/>
      <c r="AE13" s="16"/>
      <c r="AF13" s="16"/>
    </row>
    <row r="14" spans="2:32" s="19" customFormat="1" x14ac:dyDescent="0.2">
      <c r="B14" s="18"/>
      <c r="D14" s="25"/>
      <c r="E14" s="25"/>
      <c r="F14" s="25"/>
      <c r="G14" s="106"/>
      <c r="H14" s="25"/>
      <c r="I14" s="25"/>
      <c r="J14" s="25" t="s">
        <v>22</v>
      </c>
      <c r="K14" s="25"/>
      <c r="L14" s="25"/>
      <c r="M14" s="106">
        <v>0.03</v>
      </c>
      <c r="N14" s="25"/>
      <c r="O14" s="25"/>
      <c r="P14" s="25"/>
      <c r="Q14" s="25"/>
      <c r="R14" s="25"/>
      <c r="S14" s="112"/>
      <c r="T14" s="25"/>
      <c r="U14" s="25"/>
      <c r="V14" s="25" t="s">
        <v>22</v>
      </c>
      <c r="W14" s="25"/>
      <c r="X14" s="25"/>
      <c r="Y14" s="106">
        <v>0.04</v>
      </c>
      <c r="Z14" s="70"/>
      <c r="AA14" s="70"/>
      <c r="AB14" s="16"/>
      <c r="AC14" s="16"/>
      <c r="AD14" s="16"/>
      <c r="AE14" s="16"/>
      <c r="AF14" s="16"/>
    </row>
    <row r="15" spans="2:32" s="19" customFormat="1" x14ac:dyDescent="0.2">
      <c r="B15" s="57" t="s">
        <v>23</v>
      </c>
      <c r="C15" s="12"/>
      <c r="D15" s="71" t="s">
        <v>24</v>
      </c>
      <c r="E15" s="38"/>
      <c r="F15" s="38"/>
      <c r="G15" s="108">
        <v>0.04</v>
      </c>
      <c r="H15" s="38"/>
      <c r="I15" s="38"/>
      <c r="J15" s="71" t="s">
        <v>24</v>
      </c>
      <c r="K15" s="38"/>
      <c r="L15" s="38"/>
      <c r="M15" s="108">
        <v>0.03</v>
      </c>
      <c r="N15" s="38"/>
      <c r="O15" s="38"/>
      <c r="P15" s="71" t="s">
        <v>24</v>
      </c>
      <c r="Q15" s="114"/>
      <c r="R15" s="114"/>
      <c r="S15" s="108">
        <v>0.03</v>
      </c>
      <c r="T15" s="38"/>
      <c r="U15" s="38"/>
      <c r="V15" s="38"/>
      <c r="W15" s="38"/>
      <c r="X15" s="38"/>
      <c r="Y15" s="61"/>
      <c r="Z15" s="39"/>
      <c r="AA15" s="39"/>
      <c r="AB15" s="16"/>
      <c r="AC15" s="16"/>
      <c r="AD15" s="16"/>
      <c r="AE15" s="16"/>
      <c r="AF15" s="16"/>
    </row>
    <row r="16" spans="2:32" s="19" customFormat="1" x14ac:dyDescent="0.2">
      <c r="B16" s="57"/>
      <c r="C16" s="12"/>
      <c r="D16" s="71"/>
      <c r="E16" s="38"/>
      <c r="F16" s="38"/>
      <c r="G16" s="108"/>
      <c r="H16" s="38"/>
      <c r="I16" s="38"/>
      <c r="J16" s="71"/>
      <c r="K16" s="38"/>
      <c r="L16" s="38"/>
      <c r="M16" s="108"/>
      <c r="N16" s="38"/>
      <c r="O16" s="38"/>
      <c r="P16" s="71"/>
      <c r="Q16" s="114"/>
      <c r="R16" s="114"/>
      <c r="S16" s="108"/>
      <c r="T16" s="38"/>
      <c r="U16" s="38"/>
      <c r="V16" s="38"/>
      <c r="W16" s="38"/>
      <c r="X16" s="38"/>
      <c r="Y16" s="61"/>
      <c r="Z16" s="39"/>
      <c r="AA16" s="39"/>
      <c r="AB16" s="16"/>
      <c r="AC16" s="16"/>
      <c r="AD16" s="16"/>
      <c r="AE16" s="16"/>
      <c r="AF16" s="16"/>
    </row>
    <row r="17" spans="2:32" s="17" customFormat="1" ht="14.25" x14ac:dyDescent="0.2">
      <c r="B17" s="35" t="s">
        <v>25</v>
      </c>
      <c r="C17" s="36"/>
      <c r="D17" s="36"/>
      <c r="E17" s="36"/>
      <c r="F17" s="36"/>
      <c r="G17" s="37">
        <f>SUM(G18:G25)</f>
        <v>0.60000000000000009</v>
      </c>
      <c r="H17" s="36"/>
      <c r="I17" s="29"/>
      <c r="J17" s="36"/>
      <c r="K17" s="36"/>
      <c r="L17" s="36"/>
      <c r="M17" s="37">
        <f>SUM(M18:M25)</f>
        <v>0.60000000000000009</v>
      </c>
      <c r="N17" s="36"/>
      <c r="O17" s="29"/>
      <c r="P17" s="36"/>
      <c r="Q17" s="36"/>
      <c r="R17" s="36"/>
      <c r="S17" s="37">
        <f>SUM(S18:S25)</f>
        <v>0.60000000000000009</v>
      </c>
      <c r="T17" s="36"/>
      <c r="U17" s="29"/>
      <c r="V17" s="36"/>
      <c r="W17" s="36"/>
      <c r="X17" s="36"/>
      <c r="Y17" s="37">
        <f>SUM(Y18:Y25)</f>
        <v>0.60000000000000009</v>
      </c>
      <c r="Z17" s="69"/>
      <c r="AA17" s="69"/>
      <c r="AB17"/>
      <c r="AC17"/>
      <c r="AD17"/>
    </row>
    <row r="18" spans="2:32" s="19" customFormat="1" x14ac:dyDescent="0.2">
      <c r="B18" s="101" t="s">
        <v>86</v>
      </c>
      <c r="C18" s="12"/>
      <c r="D18" s="12" t="s">
        <v>88</v>
      </c>
      <c r="E18" s="12"/>
      <c r="F18" s="12"/>
      <c r="G18" s="39">
        <v>0.18</v>
      </c>
      <c r="H18" s="12"/>
      <c r="I18" s="12"/>
      <c r="J18" s="12" t="s">
        <v>88</v>
      </c>
      <c r="K18" s="12"/>
      <c r="L18" s="12"/>
      <c r="M18" s="39">
        <v>0.18</v>
      </c>
      <c r="N18" s="12"/>
      <c r="O18" s="12"/>
      <c r="P18" s="12" t="s">
        <v>88</v>
      </c>
      <c r="Q18" s="12"/>
      <c r="R18" s="12"/>
      <c r="S18" s="39">
        <v>0.18</v>
      </c>
      <c r="T18" s="12"/>
      <c r="U18" s="12"/>
      <c r="V18" s="12" t="s">
        <v>88</v>
      </c>
      <c r="W18" s="12"/>
      <c r="X18" s="12"/>
      <c r="Y18" s="39">
        <v>0.18</v>
      </c>
      <c r="Z18" s="39"/>
      <c r="AA18" s="39"/>
      <c r="AB18" s="16"/>
      <c r="AC18" s="16"/>
      <c r="AD18" s="16"/>
      <c r="AE18" s="16"/>
      <c r="AF18" s="16"/>
    </row>
    <row r="19" spans="2:32" s="19" customFormat="1" x14ac:dyDescent="0.2">
      <c r="B19" s="101"/>
      <c r="C19" s="12"/>
      <c r="D19" s="12" t="s">
        <v>89</v>
      </c>
      <c r="E19" s="12"/>
      <c r="F19" s="12"/>
      <c r="G19" s="39">
        <v>0.06</v>
      </c>
      <c r="H19" s="12"/>
      <c r="I19" s="12"/>
      <c r="J19" s="12" t="s">
        <v>89</v>
      </c>
      <c r="K19" s="12"/>
      <c r="L19" s="12"/>
      <c r="M19" s="39">
        <v>0.06</v>
      </c>
      <c r="N19" s="12"/>
      <c r="O19" s="12"/>
      <c r="P19" s="12" t="s">
        <v>89</v>
      </c>
      <c r="Q19" s="12"/>
      <c r="R19" s="12"/>
      <c r="S19" s="39">
        <v>0.06</v>
      </c>
      <c r="T19" s="12"/>
      <c r="U19" s="12"/>
      <c r="V19" s="12" t="s">
        <v>89</v>
      </c>
      <c r="W19" s="12"/>
      <c r="X19" s="12"/>
      <c r="Y19" s="39">
        <v>0.06</v>
      </c>
      <c r="Z19" s="39"/>
      <c r="AA19" s="39"/>
      <c r="AB19" s="16"/>
      <c r="AC19" s="16"/>
      <c r="AD19" s="16"/>
      <c r="AE19" s="16"/>
      <c r="AF19" s="16"/>
    </row>
    <row r="20" spans="2:32" s="19" customFormat="1" x14ac:dyDescent="0.2">
      <c r="B20" s="57" t="s">
        <v>79</v>
      </c>
      <c r="C20" s="12"/>
      <c r="D20" s="12" t="s">
        <v>82</v>
      </c>
      <c r="E20" s="12"/>
      <c r="F20" s="12"/>
      <c r="G20" s="39">
        <v>0.2</v>
      </c>
      <c r="H20" s="12"/>
      <c r="I20" s="12"/>
      <c r="J20" s="12" t="s">
        <v>82</v>
      </c>
      <c r="K20" s="12"/>
      <c r="L20" s="12"/>
      <c r="M20" s="39">
        <v>0.2</v>
      </c>
      <c r="N20" s="12"/>
      <c r="O20" s="12"/>
      <c r="P20" s="12" t="s">
        <v>82</v>
      </c>
      <c r="Q20" s="12"/>
      <c r="R20" s="12"/>
      <c r="S20" s="39">
        <v>0.2</v>
      </c>
      <c r="T20" s="12"/>
      <c r="U20" s="12"/>
      <c r="V20" s="12" t="s">
        <v>82</v>
      </c>
      <c r="W20" s="12"/>
      <c r="X20" s="12"/>
      <c r="Y20" s="39">
        <v>0.2</v>
      </c>
      <c r="Z20" s="39"/>
      <c r="AA20" s="39"/>
      <c r="AB20" s="16"/>
      <c r="AC20" s="16"/>
      <c r="AD20" s="16"/>
      <c r="AE20" s="16"/>
      <c r="AF20" s="16"/>
    </row>
    <row r="21" spans="2:32" s="19" customFormat="1" x14ac:dyDescent="0.2">
      <c r="B21" s="57"/>
      <c r="C21" s="12"/>
      <c r="D21" s="12" t="s">
        <v>91</v>
      </c>
      <c r="E21" s="12"/>
      <c r="F21" s="12"/>
      <c r="G21" s="39">
        <v>0.06</v>
      </c>
      <c r="H21" s="12"/>
      <c r="I21" s="12"/>
      <c r="J21" s="12" t="s">
        <v>80</v>
      </c>
      <c r="K21" s="12"/>
      <c r="L21" s="12"/>
      <c r="M21" s="39">
        <v>0.06</v>
      </c>
      <c r="N21" s="12"/>
      <c r="O21" s="12"/>
      <c r="P21" s="38" t="s">
        <v>80</v>
      </c>
      <c r="Q21" s="38"/>
      <c r="R21" s="38"/>
      <c r="S21" s="61">
        <v>0.04</v>
      </c>
      <c r="T21" s="12"/>
      <c r="U21" s="12"/>
      <c r="V21" s="12" t="s">
        <v>80</v>
      </c>
      <c r="W21" s="12"/>
      <c r="X21" s="12"/>
      <c r="Y21" s="39">
        <v>0.06</v>
      </c>
      <c r="Z21" s="39"/>
      <c r="AA21" s="39"/>
      <c r="AB21" s="16"/>
      <c r="AC21" s="16"/>
      <c r="AD21" s="16"/>
      <c r="AE21" s="16"/>
      <c r="AF21" s="16"/>
    </row>
    <row r="22" spans="2:32" s="19" customFormat="1" x14ac:dyDescent="0.2">
      <c r="B22" s="57"/>
      <c r="C22" s="12"/>
      <c r="D22" s="12" t="s">
        <v>87</v>
      </c>
      <c r="E22" s="12"/>
      <c r="F22" s="12"/>
      <c r="G22" s="39">
        <v>0.06</v>
      </c>
      <c r="H22" s="12"/>
      <c r="I22" s="12"/>
      <c r="J22" s="12" t="s">
        <v>87</v>
      </c>
      <c r="K22" s="12"/>
      <c r="L22" s="12"/>
      <c r="M22" s="39">
        <v>0.06</v>
      </c>
      <c r="N22" s="12"/>
      <c r="O22" s="12"/>
      <c r="P22" s="38" t="s">
        <v>87</v>
      </c>
      <c r="Q22" s="38"/>
      <c r="R22" s="38"/>
      <c r="S22" s="61">
        <v>0.04</v>
      </c>
      <c r="T22" s="12"/>
      <c r="U22" s="12"/>
      <c r="V22" s="12" t="s">
        <v>87</v>
      </c>
      <c r="W22" s="12"/>
      <c r="X22" s="12"/>
      <c r="Y22" s="39">
        <v>0.06</v>
      </c>
      <c r="Z22" s="39"/>
      <c r="AA22" s="39"/>
      <c r="AB22" s="16"/>
      <c r="AC22" s="16"/>
      <c r="AD22" s="16"/>
      <c r="AE22" s="16"/>
      <c r="AF22" s="16"/>
    </row>
    <row r="23" spans="2:32" s="19" customFormat="1" ht="14.25" x14ac:dyDescent="0.2">
      <c r="B23" s="57" t="s">
        <v>33</v>
      </c>
      <c r="C23" s="12"/>
      <c r="D23" s="12"/>
      <c r="E23" s="12"/>
      <c r="F23" s="12"/>
      <c r="G23" s="12"/>
      <c r="H23" s="12"/>
      <c r="I23" s="12"/>
      <c r="J23" s="75"/>
      <c r="K23" s="12"/>
      <c r="L23" s="12"/>
      <c r="M23" s="12"/>
      <c r="N23" s="12"/>
      <c r="O23" s="12"/>
      <c r="P23" s="25" t="s">
        <v>35</v>
      </c>
      <c r="Q23" s="38"/>
      <c r="R23" s="38"/>
      <c r="S23" s="61">
        <v>0.04</v>
      </c>
      <c r="T23" s="12"/>
      <c r="U23" s="12"/>
      <c r="V23" s="12"/>
      <c r="W23" s="12"/>
      <c r="X23" s="12"/>
      <c r="Y23" s="12"/>
      <c r="Z23" s="39"/>
      <c r="AA23" s="39"/>
      <c r="AB23" s="16"/>
      <c r="AC23" s="16"/>
      <c r="AD23" s="16"/>
      <c r="AE23" s="16"/>
      <c r="AF23" s="16"/>
    </row>
    <row r="24" spans="2:32" s="19" customFormat="1" x14ac:dyDescent="0.2">
      <c r="B24" s="57" t="s">
        <v>37</v>
      </c>
      <c r="D24" s="12" t="s">
        <v>90</v>
      </c>
      <c r="G24" s="39">
        <v>0.04</v>
      </c>
      <c r="J24" s="12" t="s">
        <v>81</v>
      </c>
      <c r="M24" s="39">
        <v>0.04</v>
      </c>
      <c r="P24" s="38" t="s">
        <v>81</v>
      </c>
      <c r="Q24" s="25"/>
      <c r="R24" s="25"/>
      <c r="S24" s="61">
        <v>0.04</v>
      </c>
      <c r="V24" s="12" t="s">
        <v>81</v>
      </c>
      <c r="Y24" s="39">
        <v>0.04</v>
      </c>
      <c r="Z24" s="39"/>
      <c r="AA24" s="39"/>
      <c r="AB24" s="16"/>
      <c r="AC24" s="16"/>
      <c r="AD24" s="16"/>
      <c r="AE24" s="16"/>
      <c r="AF24" s="16"/>
    </row>
    <row r="25" spans="2:32" s="19" customFormat="1" x14ac:dyDescent="0.2">
      <c r="B25" s="57"/>
      <c r="D25" s="12"/>
      <c r="G25" s="21"/>
      <c r="J25" s="12"/>
      <c r="M25" s="21"/>
      <c r="P25" s="12"/>
      <c r="S25" s="21"/>
      <c r="V25" s="12"/>
      <c r="Y25" s="21"/>
      <c r="Z25" s="39"/>
      <c r="AA25" s="39"/>
      <c r="AB25" s="16"/>
      <c r="AC25" s="16"/>
      <c r="AD25" s="16"/>
      <c r="AE25" s="16"/>
      <c r="AF25" s="16"/>
    </row>
    <row r="26" spans="2:32" s="17" customFormat="1" x14ac:dyDescent="0.2">
      <c r="B26" s="40"/>
      <c r="C26" s="40"/>
      <c r="D26" s="41"/>
      <c r="E26" s="41"/>
      <c r="F26" s="41"/>
      <c r="G26" s="42"/>
      <c r="H26" s="43"/>
      <c r="I26" s="29"/>
      <c r="J26" s="41"/>
      <c r="K26" s="41"/>
      <c r="L26" s="41"/>
      <c r="M26" s="42"/>
      <c r="N26" s="43"/>
      <c r="O26" s="29"/>
      <c r="P26" s="41"/>
      <c r="Q26" s="41"/>
      <c r="R26" s="41"/>
      <c r="S26" s="42"/>
      <c r="T26" s="43"/>
      <c r="U26" s="29"/>
      <c r="V26" s="41"/>
      <c r="W26" s="41"/>
      <c r="X26" s="41"/>
      <c r="Y26" s="42"/>
      <c r="Z26" s="69"/>
      <c r="AA26" s="69"/>
    </row>
    <row r="27" spans="2:32" s="19" customFormat="1" x14ac:dyDescent="0.2">
      <c r="B27" s="18"/>
      <c r="G27" s="21"/>
      <c r="M27" s="21"/>
      <c r="S27" s="21"/>
      <c r="Y27" s="21"/>
      <c r="Z27" s="39"/>
      <c r="AA27" s="39"/>
      <c r="AB27" s="16"/>
      <c r="AC27" s="16"/>
      <c r="AD27" s="16"/>
      <c r="AE27" s="16"/>
      <c r="AF27" s="16"/>
    </row>
    <row r="28" spans="2:32" s="17" customFormat="1" x14ac:dyDescent="0.2">
      <c r="B28" s="44"/>
      <c r="C28" s="45"/>
      <c r="D28" s="45"/>
      <c r="E28" s="45"/>
      <c r="F28" s="45"/>
      <c r="G28" s="44">
        <f>G3+G9+G17+G26</f>
        <v>1</v>
      </c>
      <c r="H28" s="44">
        <f>H3+H9+H17+H26</f>
        <v>0</v>
      </c>
      <c r="I28" s="46">
        <f>I3+I9+I17+I26</f>
        <v>0</v>
      </c>
      <c r="J28" s="44"/>
      <c r="K28" s="44">
        <f>K3+K9+K17+K26</f>
        <v>0</v>
      </c>
      <c r="L28" s="44">
        <f>L3+L9+L17+L26</f>
        <v>0</v>
      </c>
      <c r="M28" s="44">
        <f>M3+M9+M17+M26</f>
        <v>1</v>
      </c>
      <c r="N28" s="44">
        <f>N3+N9+N17+N26</f>
        <v>0</v>
      </c>
      <c r="O28" s="46">
        <f>O3+O9+O17+O26</f>
        <v>0</v>
      </c>
      <c r="P28" s="44"/>
      <c r="Q28" s="44">
        <f>Q3+Q9+Q17+Q26</f>
        <v>0</v>
      </c>
      <c r="R28" s="44">
        <f>R3+R9+R17+R26</f>
        <v>0</v>
      </c>
      <c r="S28" s="44">
        <f>S3+S9+S17+S26</f>
        <v>1</v>
      </c>
      <c r="T28" s="44">
        <f>T3+T9+T17+T26</f>
        <v>0</v>
      </c>
      <c r="U28" s="46">
        <f>U3+U9+U17+U26</f>
        <v>0</v>
      </c>
      <c r="V28" s="44"/>
      <c r="W28" s="44">
        <f>W3+W9+W17+W26</f>
        <v>0</v>
      </c>
      <c r="X28" s="44">
        <f>X3+X9+X17+X26</f>
        <v>0</v>
      </c>
      <c r="Y28" s="44">
        <f>Y3+Y9+Y17+Y26</f>
        <v>1</v>
      </c>
      <c r="Z28" s="72"/>
      <c r="AA28" s="72"/>
    </row>
    <row r="29" spans="2:32" s="16" customFormat="1" x14ac:dyDescent="0.2">
      <c r="B29" s="46"/>
      <c r="C29" s="47"/>
      <c r="D29" s="47"/>
      <c r="E29" s="47"/>
      <c r="F29" s="47"/>
      <c r="G29" s="46"/>
      <c r="H29" s="46"/>
      <c r="I29" s="46"/>
      <c r="J29" s="46"/>
      <c r="K29" s="46"/>
      <c r="L29" s="46"/>
      <c r="M29" s="46"/>
      <c r="N29" s="46"/>
      <c r="O29" s="46"/>
      <c r="P29" s="46"/>
      <c r="Q29" s="46"/>
      <c r="R29" s="46"/>
      <c r="S29" s="46"/>
      <c r="T29" s="46"/>
      <c r="U29" s="46"/>
      <c r="V29" s="46"/>
      <c r="W29" s="46"/>
      <c r="X29" s="46"/>
      <c r="Y29" s="46"/>
      <c r="Z29" s="46"/>
      <c r="AA29" s="46"/>
    </row>
    <row r="30" spans="2:32" s="17" customFormat="1" x14ac:dyDescent="0.2">
      <c r="B30" s="57"/>
      <c r="C30" s="12"/>
      <c r="D30" s="73"/>
      <c r="E30" s="12"/>
      <c r="F30" s="12"/>
      <c r="G30" s="54"/>
      <c r="H30" s="12"/>
      <c r="I30" s="19"/>
      <c r="J30" s="12"/>
      <c r="K30" s="12"/>
      <c r="L30" s="12"/>
      <c r="M30" s="54"/>
      <c r="N30" s="12"/>
      <c r="O30" s="19"/>
      <c r="P30" s="12"/>
      <c r="Q30" s="12"/>
      <c r="R30" s="12"/>
      <c r="S30" s="54"/>
      <c r="T30" s="12"/>
      <c r="U30" s="19"/>
      <c r="V30" s="12"/>
      <c r="W30" s="12"/>
      <c r="X30" s="12"/>
      <c r="Y30" s="54"/>
      <c r="Z30" s="74"/>
      <c r="AA30" s="74"/>
    </row>
    <row r="31" spans="2:32" s="17" customFormat="1" x14ac:dyDescent="0.2">
      <c r="B31" s="57"/>
      <c r="C31" s="12"/>
      <c r="D31" s="73"/>
      <c r="E31" s="12"/>
      <c r="F31" s="12"/>
      <c r="H31" s="12"/>
      <c r="I31" s="19"/>
      <c r="J31" s="12"/>
      <c r="K31" s="12"/>
      <c r="L31" s="12"/>
      <c r="N31" s="12"/>
      <c r="O31" s="19"/>
      <c r="P31" s="12"/>
      <c r="Q31" s="12"/>
      <c r="R31" s="12"/>
      <c r="T31" s="12"/>
      <c r="U31" s="19"/>
      <c r="V31" s="12"/>
      <c r="W31" s="12"/>
      <c r="X31" s="12"/>
      <c r="Z31" s="74"/>
      <c r="AA31" s="74"/>
    </row>
    <row r="32" spans="2:32" s="17" customFormat="1" x14ac:dyDescent="0.2">
      <c r="B32" s="57"/>
      <c r="C32" s="12"/>
      <c r="D32" s="73"/>
      <c r="E32" s="12"/>
      <c r="F32" s="12"/>
      <c r="H32" s="12"/>
      <c r="I32" s="19"/>
      <c r="J32" s="12"/>
      <c r="K32" s="12"/>
      <c r="L32" s="12"/>
      <c r="N32" s="12"/>
      <c r="O32" s="19"/>
      <c r="P32" s="12"/>
      <c r="Q32" s="12"/>
      <c r="R32" s="12"/>
      <c r="T32" s="12"/>
      <c r="U32" s="19"/>
      <c r="V32" s="12"/>
      <c r="W32" s="12"/>
      <c r="X32" s="12"/>
      <c r="Z32" s="74"/>
      <c r="AA32" s="74"/>
    </row>
    <row r="33" spans="2:27" s="17" customFormat="1" x14ac:dyDescent="0.2">
      <c r="B33" s="57"/>
      <c r="C33" s="12"/>
      <c r="D33" s="73"/>
      <c r="E33" s="12"/>
      <c r="F33" s="12"/>
      <c r="H33" s="12"/>
      <c r="I33" s="19"/>
      <c r="J33" s="12"/>
      <c r="K33" s="12"/>
      <c r="L33" s="12"/>
      <c r="N33" s="12"/>
      <c r="O33" s="19"/>
      <c r="P33" s="12"/>
      <c r="Q33" s="12"/>
      <c r="R33" s="12"/>
      <c r="T33" s="12"/>
      <c r="U33" s="19"/>
      <c r="V33" s="12"/>
      <c r="W33" s="12"/>
      <c r="X33" s="12"/>
      <c r="Z33" s="74"/>
      <c r="AA33" s="74"/>
    </row>
    <row r="34" spans="2:27" s="17" customFormat="1" x14ac:dyDescent="0.2">
      <c r="B34" s="57"/>
      <c r="C34" s="12"/>
      <c r="D34" s="73"/>
      <c r="E34" s="12"/>
      <c r="F34" s="12"/>
      <c r="H34" s="12"/>
      <c r="I34" s="19"/>
      <c r="J34" s="12"/>
      <c r="K34" s="12"/>
      <c r="L34" s="12"/>
      <c r="N34" s="12"/>
      <c r="O34" s="19"/>
      <c r="P34" s="12"/>
      <c r="Q34" s="12"/>
      <c r="R34" s="12"/>
      <c r="T34" s="12"/>
      <c r="U34" s="19"/>
      <c r="V34" s="12"/>
      <c r="W34" s="12"/>
      <c r="X34" s="12"/>
      <c r="Z34" s="74"/>
      <c r="AA34" s="74"/>
    </row>
    <row r="35" spans="2:27" s="17" customFormat="1" x14ac:dyDescent="0.2">
      <c r="B35" s="57"/>
      <c r="C35" s="12"/>
      <c r="D35" s="73"/>
      <c r="E35" s="12"/>
      <c r="F35" s="12"/>
      <c r="H35" s="12"/>
      <c r="I35" s="19"/>
      <c r="J35" s="12"/>
      <c r="K35" s="12"/>
      <c r="L35" s="12"/>
      <c r="N35" s="12"/>
      <c r="O35" s="19"/>
      <c r="P35" s="12"/>
      <c r="Q35" s="12"/>
      <c r="R35" s="12"/>
      <c r="T35" s="12"/>
      <c r="U35" s="19"/>
      <c r="V35" s="12"/>
      <c r="W35" s="12"/>
      <c r="X35" s="12"/>
      <c r="Z35" s="74"/>
      <c r="AA35" s="74"/>
    </row>
    <row r="36" spans="2:27" s="17" customFormat="1" x14ac:dyDescent="0.2">
      <c r="B36" s="57"/>
      <c r="C36" s="12"/>
      <c r="D36" s="73"/>
      <c r="E36" s="12"/>
      <c r="F36" s="12"/>
      <c r="H36" s="12"/>
      <c r="I36" s="19"/>
      <c r="J36" s="12"/>
      <c r="K36" s="12"/>
      <c r="L36" s="12"/>
      <c r="N36" s="12"/>
      <c r="O36" s="19"/>
      <c r="P36" s="12"/>
      <c r="Q36" s="12"/>
      <c r="R36" s="12"/>
      <c r="T36" s="12"/>
      <c r="U36" s="19"/>
      <c r="V36" s="12"/>
      <c r="W36" s="12"/>
      <c r="X36" s="12"/>
      <c r="Z36" s="74"/>
      <c r="AA36" s="74"/>
    </row>
    <row r="37" spans="2:27" s="17" customFormat="1" x14ac:dyDescent="0.2">
      <c r="B37" s="57"/>
      <c r="C37" s="12"/>
      <c r="D37" s="73"/>
      <c r="E37" s="12"/>
      <c r="F37" s="12"/>
      <c r="H37" s="12"/>
      <c r="I37" s="19"/>
      <c r="J37" s="12"/>
      <c r="K37" s="12"/>
      <c r="L37" s="12"/>
      <c r="N37" s="12"/>
      <c r="O37" s="19"/>
      <c r="P37" s="12"/>
      <c r="Q37" s="12"/>
      <c r="R37" s="12"/>
      <c r="T37" s="12"/>
      <c r="U37" s="19"/>
      <c r="V37" s="12"/>
      <c r="W37" s="12"/>
      <c r="X37" s="12"/>
      <c r="Z37" s="74"/>
      <c r="AA37" s="74"/>
    </row>
    <row r="38" spans="2:27" s="17" customFormat="1" x14ac:dyDescent="0.2">
      <c r="B38" s="57"/>
      <c r="C38" s="12"/>
      <c r="D38" s="73"/>
      <c r="E38" s="12"/>
      <c r="F38" s="12"/>
      <c r="H38" s="12"/>
      <c r="I38" s="19"/>
      <c r="J38" s="12"/>
      <c r="K38" s="12"/>
      <c r="L38" s="12"/>
      <c r="N38" s="12"/>
      <c r="O38" s="19"/>
      <c r="P38" s="12"/>
      <c r="Q38" s="12"/>
      <c r="R38" s="12"/>
      <c r="T38" s="12"/>
      <c r="U38" s="19"/>
      <c r="V38" s="12"/>
      <c r="W38" s="12"/>
      <c r="X38" s="12"/>
      <c r="Z38" s="74"/>
      <c r="AA38" s="74"/>
    </row>
    <row r="39" spans="2:27" s="17" customFormat="1" x14ac:dyDescent="0.2">
      <c r="B39" s="57"/>
      <c r="C39" s="12"/>
      <c r="D39" s="73"/>
      <c r="E39" s="12"/>
      <c r="F39" s="12"/>
      <c r="H39" s="12"/>
      <c r="I39" s="19"/>
      <c r="J39" s="12"/>
      <c r="K39" s="12"/>
      <c r="L39" s="12"/>
      <c r="N39" s="12"/>
      <c r="O39" s="19"/>
      <c r="P39" s="12"/>
      <c r="Q39" s="12"/>
      <c r="R39" s="12"/>
      <c r="T39" s="12"/>
      <c r="U39" s="19"/>
      <c r="V39" s="12"/>
      <c r="W39" s="12"/>
      <c r="X39" s="12"/>
      <c r="Z39" s="74"/>
      <c r="AA39" s="74"/>
    </row>
    <row r="40" spans="2:27" s="17" customFormat="1" x14ac:dyDescent="0.2">
      <c r="B40" s="57"/>
      <c r="C40" s="12"/>
      <c r="D40" s="73"/>
      <c r="E40" s="12"/>
      <c r="F40" s="12"/>
      <c r="H40" s="12"/>
      <c r="I40" s="19"/>
      <c r="J40" s="12"/>
      <c r="K40" s="12"/>
      <c r="L40" s="12"/>
      <c r="N40" s="12"/>
      <c r="O40" s="19"/>
      <c r="P40" s="12"/>
      <c r="Q40" s="12"/>
      <c r="R40" s="12"/>
      <c r="T40" s="12"/>
      <c r="U40" s="19"/>
      <c r="V40" s="12"/>
      <c r="W40" s="12"/>
      <c r="X40" s="12"/>
      <c r="Z40" s="74"/>
      <c r="AA40" s="74"/>
    </row>
    <row r="41" spans="2:27" s="17" customFormat="1" x14ac:dyDescent="0.2">
      <c r="B41" s="57"/>
      <c r="C41" s="12"/>
      <c r="D41" s="73"/>
      <c r="E41" s="12"/>
      <c r="F41" s="12"/>
      <c r="H41" s="12"/>
      <c r="I41" s="19"/>
      <c r="J41" s="12"/>
      <c r="K41" s="12"/>
      <c r="L41" s="12"/>
      <c r="N41" s="12"/>
      <c r="O41" s="19"/>
      <c r="P41" s="12"/>
      <c r="Q41" s="12"/>
      <c r="R41" s="12"/>
      <c r="T41" s="12"/>
      <c r="U41" s="19"/>
      <c r="V41" s="12"/>
      <c r="W41" s="12"/>
      <c r="X41" s="12"/>
      <c r="Z41" s="74"/>
      <c r="AA41" s="74"/>
    </row>
    <row r="42" spans="2:27" s="17" customFormat="1" x14ac:dyDescent="0.2">
      <c r="B42" s="57"/>
      <c r="C42" s="12"/>
      <c r="D42" s="73"/>
      <c r="E42" s="12"/>
      <c r="F42" s="12"/>
      <c r="H42" s="12"/>
      <c r="I42" s="19"/>
      <c r="J42" s="12"/>
      <c r="K42" s="12"/>
      <c r="L42" s="12"/>
      <c r="N42" s="12"/>
      <c r="O42" s="19"/>
      <c r="P42" s="12"/>
      <c r="Q42" s="12"/>
      <c r="R42" s="12"/>
      <c r="T42" s="12"/>
      <c r="U42" s="19"/>
      <c r="V42" s="12"/>
      <c r="W42" s="12"/>
      <c r="X42" s="12"/>
      <c r="Z42" s="74"/>
      <c r="AA42" s="74"/>
    </row>
    <row r="43" spans="2:27" s="17" customFormat="1" x14ac:dyDescent="0.2">
      <c r="B43" s="57"/>
      <c r="C43" s="12"/>
      <c r="D43" s="73"/>
      <c r="E43" s="12"/>
      <c r="F43" s="12"/>
      <c r="H43" s="12"/>
      <c r="I43" s="19"/>
      <c r="J43" s="12"/>
      <c r="K43" s="12"/>
      <c r="L43" s="12"/>
      <c r="N43" s="12"/>
      <c r="O43" s="19"/>
      <c r="P43" s="12"/>
      <c r="Q43" s="12"/>
      <c r="R43" s="12"/>
      <c r="T43" s="12"/>
      <c r="U43" s="19"/>
      <c r="V43" s="12"/>
      <c r="W43" s="12"/>
      <c r="X43" s="12"/>
      <c r="Z43" s="74"/>
      <c r="AA43" s="74"/>
    </row>
    <row r="44" spans="2:27" s="17" customFormat="1" x14ac:dyDescent="0.2">
      <c r="B44" s="57"/>
      <c r="C44" s="12"/>
      <c r="D44" s="73"/>
      <c r="E44" s="12"/>
      <c r="F44" s="12"/>
      <c r="H44" s="12"/>
      <c r="I44" s="19"/>
      <c r="J44" s="12"/>
      <c r="K44" s="12"/>
      <c r="L44" s="12"/>
      <c r="N44" s="12"/>
      <c r="O44" s="19"/>
      <c r="P44" s="12"/>
      <c r="Q44" s="12"/>
      <c r="R44" s="12"/>
      <c r="T44" s="12"/>
      <c r="U44" s="19"/>
      <c r="V44" s="12"/>
      <c r="W44" s="12"/>
      <c r="X44" s="12"/>
      <c r="Z44" s="74"/>
      <c r="AA44" s="74"/>
    </row>
    <row r="45" spans="2:27" s="17" customFormat="1" x14ac:dyDescent="0.2">
      <c r="B45" s="57"/>
      <c r="C45" s="12"/>
      <c r="D45" s="73"/>
      <c r="E45" s="12"/>
      <c r="F45" s="12"/>
      <c r="G45" s="54"/>
      <c r="H45" s="12"/>
      <c r="I45" s="19"/>
      <c r="J45" s="73"/>
      <c r="K45" s="73"/>
      <c r="L45" s="73"/>
      <c r="M45" s="73"/>
      <c r="N45" s="73"/>
      <c r="O45" s="73"/>
      <c r="P45" s="73"/>
      <c r="Q45" s="73"/>
      <c r="R45" s="73"/>
      <c r="S45" s="73"/>
      <c r="T45" s="73"/>
      <c r="U45" s="73"/>
      <c r="V45" s="73"/>
      <c r="W45" s="73"/>
      <c r="X45" s="73"/>
      <c r="Y45" s="73"/>
      <c r="Z45" s="73"/>
      <c r="AA45" s="73"/>
    </row>
    <row r="46" spans="2:27" s="17" customFormat="1" x14ac:dyDescent="0.2">
      <c r="B46" s="57"/>
      <c r="C46" s="12"/>
      <c r="D46" s="12"/>
      <c r="E46" s="12"/>
      <c r="F46" s="12"/>
      <c r="G46" s="54"/>
      <c r="H46" s="12"/>
      <c r="I46" s="19"/>
      <c r="J46" s="73"/>
      <c r="K46" s="73"/>
      <c r="L46" s="73"/>
      <c r="M46" s="73"/>
      <c r="N46" s="73"/>
      <c r="O46" s="73"/>
      <c r="P46" s="73"/>
      <c r="Q46" s="73"/>
      <c r="R46" s="73"/>
      <c r="S46" s="73"/>
      <c r="T46" s="73"/>
      <c r="U46" s="73"/>
      <c r="V46" s="73"/>
      <c r="W46" s="73"/>
      <c r="X46" s="73"/>
      <c r="Y46" s="73"/>
      <c r="Z46" s="73">
        <f>[1]TABLES!R35</f>
        <v>0</v>
      </c>
      <c r="AA46" s="73">
        <f>[1]TABLES!S35</f>
        <v>0</v>
      </c>
    </row>
    <row r="47" spans="2:27" s="17" customFormat="1" x14ac:dyDescent="0.2">
      <c r="B47" s="57"/>
      <c r="C47" s="12"/>
      <c r="D47" s="12"/>
      <c r="E47" s="12"/>
      <c r="F47" s="12"/>
      <c r="G47" s="54"/>
      <c r="H47" s="12"/>
      <c r="I47" s="19"/>
      <c r="J47" s="73"/>
      <c r="K47" s="73"/>
      <c r="L47" s="73"/>
      <c r="M47" s="73"/>
      <c r="N47" s="73"/>
      <c r="O47" s="73"/>
      <c r="P47" s="73"/>
      <c r="Q47" s="73"/>
      <c r="R47" s="73"/>
      <c r="S47" s="73"/>
      <c r="T47" s="73"/>
      <c r="U47" s="73"/>
      <c r="V47" s="73"/>
      <c r="W47" s="73"/>
      <c r="X47" s="73"/>
      <c r="Y47" s="73"/>
      <c r="Z47" s="73">
        <f>[1]TABLES!R36</f>
        <v>0</v>
      </c>
      <c r="AA47" s="73">
        <f>[1]TABLES!S36</f>
        <v>0</v>
      </c>
    </row>
    <row r="48" spans="2:27" s="17" customFormat="1" x14ac:dyDescent="0.2">
      <c r="B48" s="57"/>
      <c r="C48" s="12"/>
      <c r="D48" s="12"/>
      <c r="E48" s="12"/>
      <c r="F48" s="12"/>
      <c r="G48" s="54"/>
      <c r="H48" s="12"/>
      <c r="I48" s="19"/>
      <c r="J48" s="73"/>
      <c r="K48" s="12"/>
      <c r="L48" s="12"/>
      <c r="M48" s="54"/>
      <c r="N48" s="12"/>
      <c r="O48" s="19"/>
      <c r="P48" s="12"/>
      <c r="Q48" s="12"/>
      <c r="R48" s="12"/>
      <c r="S48" s="54"/>
      <c r="T48" s="12"/>
      <c r="U48" s="19"/>
      <c r="V48" s="12"/>
      <c r="W48" s="12"/>
      <c r="X48" s="12"/>
      <c r="Y48" s="54"/>
      <c r="Z48" s="74"/>
      <c r="AA48" s="74"/>
    </row>
    <row r="49" spans="2:27" s="17" customFormat="1" x14ac:dyDescent="0.2">
      <c r="B49" s="57"/>
      <c r="C49" s="12"/>
      <c r="D49" s="12"/>
      <c r="E49" s="12"/>
      <c r="F49" s="12"/>
      <c r="G49" s="54"/>
      <c r="H49" s="12"/>
      <c r="I49" s="19"/>
      <c r="J49" s="73"/>
      <c r="K49" s="12"/>
      <c r="L49" s="12"/>
      <c r="M49" s="54"/>
      <c r="N49" s="12"/>
      <c r="O49" s="19"/>
      <c r="P49" s="12"/>
      <c r="Q49" s="12"/>
      <c r="R49" s="12"/>
      <c r="S49" s="54"/>
      <c r="T49" s="12"/>
      <c r="U49" s="19"/>
      <c r="V49" s="12"/>
      <c r="W49" s="12"/>
      <c r="X49" s="12"/>
      <c r="Y49" s="54"/>
      <c r="Z49" s="74"/>
      <c r="AA49" s="7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vt:lpstr>
      <vt:lpstr>4 models US</vt:lpstr>
      <vt:lpstr>4 models liquid US</vt:lpstr>
      <vt:lpstr>4 models (INT)</vt:lpstr>
      <vt:lpstr>4 models liquid (INT)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Hokanson</dc:creator>
  <cp:lastModifiedBy>Xavier Court</cp:lastModifiedBy>
  <dcterms:created xsi:type="dcterms:W3CDTF">2025-07-08T11:37:18Z</dcterms:created>
  <dcterms:modified xsi:type="dcterms:W3CDTF">2025-10-03T17:47:20Z</dcterms:modified>
</cp:coreProperties>
</file>